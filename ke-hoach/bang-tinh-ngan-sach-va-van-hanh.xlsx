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ThongSo" sheetId="2" state="visible" r:id="rId4"/>
    <sheet name="CongCu" sheetId="3" state="visible" r:id="rId5"/>
    <sheet name="ChiPhiVideo" sheetId="4" state="visible" r:id="rId6"/>
    <sheet name="NangSuat" sheetId="5" state="visible" r:id="rId7"/>
    <sheet name="DoanhThu" sheetId="6" state="visible" r:id="rId8"/>
    <sheet name="LichDang" sheetId="7" state="visible" r:id="rId9"/>
    <sheet name="TheoDoi" sheetId="8" state="visible" r:id="rId10"/>
    <sheet name="KP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<sst xmlns="http://schemas.openxmlformats.org/spreadsheetml/2006/main" count="685" uniqueCount="571">
  <si>
    <t xml:space="preserve">Bảng tính ngân sách &amp; vận hành — Xưởng Video AI: kênh REVIEW (Global, tiếng Anh)</t>
  </si>
  <si>
    <t xml:space="preserve">v2 — 13/10/2026. Ngách: SaaS, AI tool, sản phẩm vật lý (SPVL), Crypto, Forex. Video dài tối thiểu 15 phút. Giá công cụ là ảnh chụp tháng 9–10/2026 — xác nhận khi thanh toán.</t>
  </si>
  <si>
    <t xml:space="preserve">Quy ước màu</t>
  </si>
  <si>
    <t xml:space="preserve">Chữ xanh dương</t>
  </si>
  <si>
    <t xml:space="preserve">Ô nhập liệu / giả định — được phép sửa</t>
  </si>
  <si>
    <t xml:space="preserve">Nền vàng</t>
  </si>
  <si>
    <t xml:space="preserve">Giả định quan trọng nhất — nên rà lại trước khi trình bày</t>
  </si>
  <si>
    <t xml:space="preserve">Chữ đen</t>
  </si>
  <si>
    <t xml:space="preserve">Công thức — KHÔNG sửa tay</t>
  </si>
  <si>
    <t xml:space="preserve">Chữ xanh lá</t>
  </si>
  <si>
    <t xml:space="preserve">Công thức lấy dữ liệu từ sheet khác</t>
  </si>
  <si>
    <t xml:space="preserve">Hai kênh</t>
  </si>
  <si>
    <t xml:space="preserve">Kênh A — Tech &amp; AI Tools</t>
  </si>
  <si>
    <t xml:space="preserve">SaaS, AI tool, SPVL công nghệ. Có NGƯỜI DẪN AI trông như người thật (HeyGen) + quay màn hình sản phẩm thật.</t>
  </si>
  <si>
    <t xml:space="preserve">Kênh B — Crypto &amp; Forex</t>
  </si>
  <si>
    <t xml:space="preserve">Sàn crypto, broker forex, công cụ giao dịch. KHÔNG người dẫn AI (chính sách YouTube về AI persona tài chính). Chỉ chạy khi có ý kiến luật sư.</t>
  </si>
  <si>
    <t xml:space="preserve">Các sheet</t>
  </si>
  <si>
    <t xml:space="preserve">ThongSo</t>
  </si>
  <si>
    <t xml:space="preserve">Giả định đầu vào: tỷ giá, độ dài video, cơ cấu hình ảnh theo cấp, đơn giá credit Veo/HeyGen/ElevenLabs</t>
  </si>
  <si>
    <t xml:space="preserve">CongCu</t>
  </si>
  <si>
    <t xml:space="preserve">Công cụ, giá/tháng, hạn mức credit và 3 gói ngân sách A – B – C</t>
  </si>
  <si>
    <t xml:space="preserve">ChiPhiVideo</t>
  </si>
  <si>
    <t xml:space="preserve">Khối lượng &amp; chi phí 1 video dài 18 phút (3 cấp Kênh A + Kênh B); thuê bao vs API; chi phí trọn gói; kiểm tra đủ credit; mục E: phương án HeyGen Video Agent</t>
  </si>
  <si>
    <t xml:space="preserve">NangSuat</t>
  </si>
  <si>
    <t xml:space="preserve">Thời gian 10 bước, năng lực/ngày, trần đăng; so sánh thời gian với HeyGen Video Agent</t>
  </si>
  <si>
    <t xml:space="preserve">DoanhThu</t>
  </si>
  <si>
    <t xml:space="preserve">Doanh thu affiliate + quảng cáo, điểm hoà vốn, mục tiêu YPP Kênh A trước 31/01/2027</t>
  </si>
  <si>
    <t xml:space="preserve">LichDang</t>
  </si>
  <si>
    <t xml:space="preserve">Khung giờ đăng giờ VN ↔ New York</t>
  </si>
  <si>
    <t xml:space="preserve">TheoDoi</t>
  </si>
  <si>
    <t xml:space="preserve">Theo dõi sản xuất từng video (có cột tuân thủ &amp; affiliate)</t>
  </si>
  <si>
    <t xml:space="preserve">KPI</t>
  </si>
  <si>
    <t xml:space="preserve">KPI hằng tuần, gồm click &amp; chuyển đổi affiliate</t>
  </si>
  <si>
    <t xml:space="preserve">Thông số &amp; giả định đầu vào</t>
  </si>
  <si>
    <t xml:space="preserve">Chữ xanh dương = được sửa. Mọi sheet khác tính từ đây.</t>
  </si>
  <si>
    <t xml:space="preserve">Thông số</t>
  </si>
  <si>
    <t xml:space="preserve">Giá trị</t>
  </si>
  <si>
    <t xml:space="preserve">Đơn vị</t>
  </si>
  <si>
    <t xml:space="preserve">Ghi chú / nguồn</t>
  </si>
  <si>
    <t xml:space="preserve">Tỷ giá USD → VND</t>
  </si>
  <si>
    <t xml:space="preserve">VND/USD</t>
  </si>
  <si>
    <t xml:space="preserve">Giả định lập kế hoạch. Vietcombank bán ra 26.465 (02/07/2026).</t>
  </si>
  <si>
    <t xml:space="preserve">Độ dài 1 video dài (lập ngân sách)</t>
  </si>
  <si>
    <t xml:space="preserve">giây</t>
  </si>
  <si>
    <t xml:space="preserve">18 phút. Quy chuẩn kênh: tối thiểu 15 phút (900 giây), chuẩn 15–20 phút.</t>
  </si>
  <si>
    <t xml:space="preserve">Độ dài 1 clip AI</t>
  </si>
  <si>
    <t xml:space="preserve">Veo 3.1 tạo clip 4/6/8 giây.</t>
  </si>
  <si>
    <t xml:space="preserve">Số ảnh phải tạo cho 1 ảnh dùng được</t>
  </si>
  <si>
    <t xml:space="preserve">lần</t>
  </si>
  <si>
    <t xml:space="preserve">Ảnh phụ thêm mỗi video (thumbnail, nền người dẫn)</t>
  </si>
  <si>
    <t xml:space="preserve">ảnh</t>
  </si>
  <si>
    <t xml:space="preserve">Số short cắt từ 1 video dài</t>
  </si>
  <si>
    <t xml:space="preserve">short</t>
  </si>
  <si>
    <t xml:space="preserve">Kịch bản module: 5–7 phần tính năng/giá/so sánh/kết luận đứng độc lập.</t>
  </si>
  <si>
    <t xml:space="preserve">Độ dài 1 short native</t>
  </si>
  <si>
    <t xml:space="preserve">Hệ số làm lại clip cho short native</t>
  </si>
  <si>
    <t xml:space="preserve">Ký tự giọng đọc / phút</t>
  </si>
  <si>
    <t xml:space="preserve">ký tự</t>
  </si>
  <si>
    <t xml:space="preserve">≈150 từ tiếng Anh/phút.</t>
  </si>
  <si>
    <t xml:space="preserve">Hệ số làm lại giọng đọc</t>
  </si>
  <si>
    <t xml:space="preserve">Số ngày làm việc / tháng</t>
  </si>
  <si>
    <t xml:space="preserve">ngày</t>
  </si>
  <si>
    <t xml:space="preserve">Giờ làm hiệu quả / ngày / người</t>
  </si>
  <si>
    <t xml:space="preserve">giờ</t>
  </si>
  <si>
    <t xml:space="preserve">HeyGen: credit / phút người dẫn (Avatar IV)</t>
  </si>
  <si>
    <t xml:space="preserve">credit</t>
  </si>
  <si>
    <t xml:space="preserve">Nguồn thứ cấp ghi 16–31 credit/phút tuỳ loại Look; 20 là mức hay gặp nhất. Kiểm tra trên app.</t>
  </si>
  <si>
    <t xml:space="preserve">HeyGen: đơn giá 1 credit</t>
  </si>
  <si>
    <t xml:space="preserve">USD</t>
  </si>
  <si>
    <t xml:space="preserve">Gói Pro US$49 / 1.000 credit (heygen.com/pricing, 10/2026).</t>
  </si>
  <si>
    <t xml:space="preserve">Hệ số làm lại đoạn người dẫn</t>
  </si>
  <si>
    <t xml:space="preserve">Cơ cấu hình ảnh theo cấp (tỷ lệ thời lượng video dài)</t>
  </si>
  <si>
    <t xml:space="preserve">Tham số</t>
  </si>
  <si>
    <t xml:space="preserve">A · Tiết kiệm</t>
  </si>
  <si>
    <t xml:space="preserve">A · Tiêu chuẩn</t>
  </si>
  <si>
    <t xml:space="preserve">A · Cao cấp</t>
  </si>
  <si>
    <t xml:space="preserve">B · Tài chính (không host AI)</t>
  </si>
  <si>
    <t xml:space="preserve">Ghi chú</t>
  </si>
  <si>
    <t xml:space="preserve">Người dẫn AI trông như người thật (HeyGen)</t>
  </si>
  <si>
    <t xml:space="preserve">Kênh B = 0: YouTube không trả tiền cho kênh dùng nhân vật AI tư vấn tài chính.</t>
  </si>
  <si>
    <t xml:space="preserve">B-roll người thật do AI tạo (Veo 3.1)</t>
  </si>
  <si>
    <t xml:space="preserve">Người dùng laptop, văn phòng, giao dịch… không nói, không tư vấn.</t>
  </si>
  <si>
    <t xml:space="preserve">Quay màn hình / hình sản phẩm thật</t>
  </si>
  <si>
    <t xml:space="preserve">Dữ liệu thật — bắt buộc để review hợp lệ (FTC).</t>
  </si>
  <si>
    <t xml:space="preserve">Đồ hoạ: bảng giá, so sánh, chấm điểm</t>
  </si>
  <si>
    <t xml:space="preserve">Template CapCut/Canva — không tốn credit.</t>
  </si>
  <si>
    <t xml:space="preserve">Kiểm tra: tổng cơ cấu = 100%</t>
  </si>
  <si>
    <t xml:space="preserve">Hệ số làm lại clip B-roll</t>
  </si>
  <si>
    <t xml:space="preserve">Người thật khó hơn phong cảnh.</t>
  </si>
  <si>
    <t xml:space="preserve">Tỷ trọng Veo 3.1 Lite</t>
  </si>
  <si>
    <t xml:space="preserve">Tỷ trọng Veo 3.1 Fast</t>
  </si>
  <si>
    <t xml:space="preserve">Tỷ trọng Veo 3.1 Quality</t>
  </si>
  <si>
    <t xml:space="preserve">Cận cảnh người cần chất lượng cao.</t>
  </si>
  <si>
    <t xml:space="preserve">Kiểm tra: tổng tỷ trọng model = 100%</t>
  </si>
  <si>
    <t xml:space="preserve">Đơn giá Veo 3.1 (credit Flow / clip 8 giây và API USD / giây)</t>
  </si>
  <si>
    <t xml:space="preserve">Model</t>
  </si>
  <si>
    <t xml:space="preserve">Credit/clip — Google AI Pro</t>
  </si>
  <si>
    <t xml:space="preserve">Credit/clip — Google AI Ultra</t>
  </si>
  <si>
    <t xml:space="preserve">API USD/giây (1080p)</t>
  </si>
  <si>
    <t xml:space="preserve">Nguồn</t>
  </si>
  <si>
    <t xml:space="preserve">Veo 3.1 Lite</t>
  </si>
  <si>
    <t xml:space="preserve">diyai.io (cập nhật 20/09/2026); Gemini API pricing</t>
  </si>
  <si>
    <t xml:space="preserve">Veo 3.1 Fast</t>
  </si>
  <si>
    <t xml:space="preserve">Veo 3.1 Quality</t>
  </si>
  <si>
    <t xml:space="preserve">Đơn giá khác</t>
  </si>
  <si>
    <t xml:space="preserve">Ảnh Nano Banana Pro qua API</t>
  </si>
  <si>
    <t xml:space="preserve">USD/ảnh</t>
  </si>
  <si>
    <t xml:space="preserve">Chỉ dùng cho tuyến API.</t>
  </si>
  <si>
    <t xml:space="preserve">Ảnh trong thuê bao Google AI (quy đổi)</t>
  </si>
  <si>
    <t xml:space="preserve">Đã gồm trong AI Pro/Ultra (có giới hạn theo ngày).</t>
  </si>
  <si>
    <t xml:space="preserve">Giọng đọc ElevenLabs</t>
  </si>
  <si>
    <t xml:space="preserve">USD/1.000 ký tự</t>
  </si>
  <si>
    <t xml:space="preserve">Gói Pro US$99 / 600.000 credit.</t>
  </si>
  <si>
    <t xml:space="preserve">Claude API cho 1 video (tuyến API)</t>
  </si>
  <si>
    <t xml:space="preserve">USD/video</t>
  </si>
  <si>
    <t xml:space="preserve">Opus 5.5: US$4/US$20 mỗi 1 triệu token vào/ra.</t>
  </si>
  <si>
    <t xml:space="preserve">Dự phòng phát sinh trên gói</t>
  </si>
  <si>
    <t xml:space="preserve">%</t>
  </si>
  <si>
    <t xml:space="preserve">Thuế, tỷ giá, mua thêm credit.</t>
  </si>
  <si>
    <t xml:space="preserve">HeyGen Video Agent + trình dựng — phương án tất cả trong một (chỉ Kênh A)</t>
  </si>
  <si>
    <t xml:space="preserve">Video Agent: credit / phút — mức thấp</t>
  </si>
  <si>
    <t xml:space="preserve">eesel.ai (bài giá HeyGen 2026) ghi 20 credit/phút. heygen.com/pricing không công bố credit/phút — chỉ ghi 'tuỳ model, thời lượng'.</t>
  </si>
  <si>
    <t xml:space="preserve">Video Agent: credit / phút — mức cao</t>
  </si>
  <si>
    <t xml:space="preserve">diyai.io (04/09/2026) ghi 40 credit/phút (tuỳ chọn Seedance 120). Help Center HeyGen chỉ xếp Video Agent vào nhóm 'tốn nhiều credit'. ⚠️ Hai nguồn lệch nhau — xem số app hiện trước khi tạo.</t>
  </si>
  <si>
    <t xml:space="preserve">Tỷ lệ thời lượng video bị tính credit</t>
  </si>
  <si>
    <t xml:space="preserve">⚠️ Chưa rõ đoạn quay màn hình tải lên có bị tính không. Giả định thận trọng: tính cả video.</t>
  </si>
  <si>
    <t xml:space="preserve">Hệ số xuất lại sau khi sửa trong trình dựng</t>
  </si>
  <si>
    <t xml:space="preserve">Sửa rồi xuất lại tốn credit lần nữa. Đo thật ở video thử #2 (20/10).</t>
  </si>
  <si>
    <t xml:space="preserve">Bộ công cụ, hạn mức &amp; 3 gói ngân sách / tháng</t>
  </si>
  <si>
    <t xml:space="preserve">SL = số lượng thuê bao trong gói. Hạn mức = credit/ký tự mỗi tháng của 1 thuê bao (dùng để kiểm tra đủ tài nguyên). Giá có dấu * là ước tính — xác nhận khi mua.</t>
  </si>
  <si>
    <t xml:space="preserve">STT</t>
  </si>
  <si>
    <t xml:space="preserve">Công cụ</t>
  </si>
  <si>
    <t xml:space="preserve">Vai trò</t>
  </si>
  <si>
    <t xml:space="preserve">Gói</t>
  </si>
  <si>
    <t xml:space="preserve">USD/tháng</t>
  </si>
  <si>
    <t xml:space="preserve">Loại hạn mức</t>
  </si>
  <si>
    <t xml:space="preserve">Hạn mức/tháng</t>
  </si>
  <si>
    <t xml:space="preserve">SL gói A</t>
  </si>
  <si>
    <t xml:space="preserve">SL gói B</t>
  </si>
  <si>
    <t xml:space="preserve">SL gói C</t>
  </si>
  <si>
    <t xml:space="preserve">Claude</t>
  </si>
  <si>
    <t xml:space="preserve">Bộ não: nghiên cứu sản phẩm, kịch bản, QC tuân thủ, SEO, phân tích</t>
  </si>
  <si>
    <t xml:space="preserve">Pro</t>
  </si>
  <si>
    <t xml:space="preserve">Như trên + Claude Code tự động hoá</t>
  </si>
  <si>
    <t xml:space="preserve">Max 5x</t>
  </si>
  <si>
    <t xml:space="preserve">Như trên, 2 người vận hành</t>
  </si>
  <si>
    <t xml:space="preserve">Max 20x</t>
  </si>
  <si>
    <t xml:space="preserve">Claude API</t>
  </si>
  <si>
    <t xml:space="preserve">Tool cắt short</t>
  </si>
  <si>
    <t xml:space="preserve">Theo dùng</t>
  </si>
  <si>
    <t xml:space="preserve">Ước tính</t>
  </si>
  <si>
    <t xml:space="preserve">Google AI (Flow)</t>
  </si>
  <si>
    <t xml:space="preserve">Veo 3.1 B-roll người thật + Nano Banana Pro</t>
  </si>
  <si>
    <t xml:space="preserve">AI Pro</t>
  </si>
  <si>
    <t xml:space="preserve">Flow</t>
  </si>
  <si>
    <t xml:space="preserve">1.000 credit + 50/ngày</t>
  </si>
  <si>
    <t xml:space="preserve">Như trên, sản lượng lớn</t>
  </si>
  <si>
    <t xml:space="preserve">AI Ultra 20x</t>
  </si>
  <si>
    <t xml:space="preserve">25.000 credit + 50/ngày; kiểm tra khả dụng tại VN</t>
  </si>
  <si>
    <t xml:space="preserve">HeyGen</t>
  </si>
  <si>
    <t xml:space="preserve">Người dẫn AI (Avatar IV) — chỉ Kênh A</t>
  </si>
  <si>
    <t xml:space="preserve">Creator</t>
  </si>
  <si>
    <t xml:space="preserve">Video tối đa 30 phút</t>
  </si>
  <si>
    <t xml:space="preserve">Như trên</t>
  </si>
  <si>
    <t xml:space="preserve">Pro ~1.500 credit*</t>
  </si>
  <si>
    <t xml:space="preserve">*Ước tính theo US$49/1.000 credit</t>
  </si>
  <si>
    <t xml:space="preserve">Pro ~3.000 credit*</t>
  </si>
  <si>
    <t xml:space="preserve">ElevenLabs</t>
  </si>
  <si>
    <t xml:space="preserve">Giọng đọc (dùng chung cho người dẫn + lời kể)</t>
  </si>
  <si>
    <t xml:space="preserve">Tháng đầu US$11</t>
  </si>
  <si>
    <t xml:space="preserve">Kling AI</t>
  </si>
  <si>
    <t xml:space="preserve">Dự phòng B-roll</t>
  </si>
  <si>
    <t xml:space="preserve">Standard</t>
  </si>
  <si>
    <t xml:space="preserve">Chỉ gói trả phí được dùng thương mại</t>
  </si>
  <si>
    <t xml:space="preserve">CapCut</t>
  </si>
  <si>
    <t xml:space="preserve">Dựng, phụ đề, zoom màn hình, template</t>
  </si>
  <si>
    <t xml:space="preserve">≈220–290 nghìn ₫ tại VN</t>
  </si>
  <si>
    <t xml:space="preserve">Suno</t>
  </si>
  <si>
    <t xml:space="preserve">Nhạc chủ đề</t>
  </si>
  <si>
    <t xml:space="preserve">Từ Pro mới có quyền thương mại</t>
  </si>
  <si>
    <t xml:space="preserve">Premier</t>
  </si>
  <si>
    <t xml:space="preserve">OpusClip</t>
  </si>
  <si>
    <t xml:space="preserve">Cắt short tự động (thay được bằng tool Claude)</t>
  </si>
  <si>
    <t xml:space="preserve">300 phút xử lý/tháng</t>
  </si>
  <si>
    <t xml:space="preserve">Ngân sách dùng thử sản phẩm</t>
  </si>
  <si>
    <t xml:space="preserve">Mua gói SaaS/AI tool để test thật (đơn vị US$50)</t>
  </si>
  <si>
    <t xml:space="preserve">Theo nhu cầu</t>
  </si>
  <si>
    <t xml:space="preserve">Nhiều hãng cấp tài khoản review miễn phí</t>
  </si>
  <si>
    <t xml:space="preserve">OBS + YouTube Audio Library</t>
  </si>
  <si>
    <t xml:space="preserve">Ghi màn hình, nhạc nền</t>
  </si>
  <si>
    <t xml:space="preserve">Miễn phí</t>
  </si>
  <si>
    <t xml:space="preserve">Cộng thuê bao (USD/tháng)</t>
  </si>
  <si>
    <t xml:space="preserve">Dự phòng phát sinh</t>
  </si>
  <si>
    <t xml:space="preserve">TỔNG GÓI (USD/tháng)</t>
  </si>
  <si>
    <t xml:space="preserve">TỔNG GÓI (VND/tháng)</t>
  </si>
  <si>
    <t xml:space="preserve">Chi phí cho 1 video dài (18 phút) theo cấp &amp; theo kênh</t>
  </si>
  <si>
    <t xml:space="preserve">Tất cả là công thức từ ThongSo &amp; CongCu. Đơn vị USD trừ khi ghi khác.</t>
  </si>
  <si>
    <t xml:space="preserve">Hạng mục</t>
  </si>
  <si>
    <t xml:space="preserve">B · Tài chính</t>
  </si>
  <si>
    <t xml:space="preserve">Cách tính</t>
  </si>
  <si>
    <t xml:space="preserve">A. Khối lượng sản xuất cho 1 video dài</t>
  </si>
  <si>
    <t xml:space="preserve">Giây người dẫn AI (HeyGen)</t>
  </si>
  <si>
    <t xml:space="preserve">Độ dài × tỷ lệ người dẫn</t>
  </si>
  <si>
    <t xml:space="preserve">Phút HeyGen phải tạo (gồm làm lại)</t>
  </si>
  <si>
    <t xml:space="preserve">Credit HeyGen / video</t>
  </si>
  <si>
    <t xml:space="preserve">Giây B-roll người thật AI</t>
  </si>
  <si>
    <t xml:space="preserve">Số clip 8 giây dùng</t>
  </si>
  <si>
    <t xml:space="preserve">Số clip phải tạo (gồm làm lại)</t>
  </si>
  <si>
    <t xml:space="preserve">Credit TB / clip — gói Ultra</t>
  </si>
  <si>
    <t xml:space="preserve">Credit TB / clip — gói Pro</t>
  </si>
  <si>
    <t xml:space="preserve">Credit Flow / video — gói Ultra</t>
  </si>
  <si>
    <t xml:space="preserve">Credit Flow / video — gói Pro</t>
  </si>
  <si>
    <t xml:space="preserve">Giây quay màn hình / hình sản phẩm thật</t>
  </si>
  <si>
    <t xml:space="preserve">Không tốn credit, tốn thời gian người</t>
  </si>
  <si>
    <t xml:space="preserve">Tổng ảnh phải tạo</t>
  </si>
  <si>
    <t xml:space="preserve">Keyframe B-roll + thumbnail</t>
  </si>
  <si>
    <t xml:space="preserve">Ký tự giọng đọc (gồm đọc lại)</t>
  </si>
  <si>
    <t xml:space="preserve">B. Chi phí biến đổi — tuyến THUÊ BAO (đề xuất)</t>
  </si>
  <si>
    <t xml:space="preserve">Video B-roll (credit × giá trị 1 credit Ultra 20x)</t>
  </si>
  <si>
    <t xml:space="preserve">US$199,99 / 26.500 credit</t>
  </si>
  <si>
    <t xml:space="preserve">Người dẫn AI (credit HeyGen × đơn giá)</t>
  </si>
  <si>
    <t xml:space="preserve">Ảnh</t>
  </si>
  <si>
    <t xml:space="preserve">Đã gồm trong thuê bao</t>
  </si>
  <si>
    <t xml:space="preserve">Giọng đọc</t>
  </si>
  <si>
    <t xml:space="preserve">Cộng biến đổi / video dài (USD)</t>
  </si>
  <si>
    <t xml:space="preserve">Cộng biến đổi / video dài (VND)</t>
  </si>
  <si>
    <t xml:space="preserve">C. Tuyến API trả theo lượt (tham chiếu, KHÔNG khuyến nghị)</t>
  </si>
  <si>
    <t xml:space="preserve">Video (giây tạo × giá API bình quân)</t>
  </si>
  <si>
    <t xml:space="preserve">Veo 3.1 Gemini API</t>
  </si>
  <si>
    <t xml:space="preserve">Ảnh (Nano Banana Pro API)</t>
  </si>
  <si>
    <t xml:space="preserve">Người dẫn AI</t>
  </si>
  <si>
    <t xml:space="preserve">Giữ cùng đơn giá</t>
  </si>
  <si>
    <t xml:space="preserve">Cộng / video dài (USD)</t>
  </si>
  <si>
    <t xml:space="preserve">API đắt gấp bao nhiêu lần thuê bao</t>
  </si>
  <si>
    <t xml:space="preserve">D. Chi phí TRỌN GÓI theo gói ngân sách + kiểm tra đủ tài nguyên</t>
  </si>
  <si>
    <t xml:space="preserve">Chỉ tiêu</t>
  </si>
  <si>
    <t xml:space="preserve">A</t>
  </si>
  <si>
    <t xml:space="preserve">B</t>
  </si>
  <si>
    <t xml:space="preserve">C</t>
  </si>
  <si>
    <t xml:space="preserve">Tên gói</t>
  </si>
  <si>
    <t xml:space="preserve">Thử nghiệm</t>
  </si>
  <si>
    <t xml:space="preserve">Tiêu chuẩn</t>
  </si>
  <si>
    <t xml:space="preserve">Mở rộng</t>
  </si>
  <si>
    <t xml:space="preserve">Cấp chất lượng Kênh A</t>
  </si>
  <si>
    <t xml:space="preserve">Gõ đúng: A · Tiết kiệm / A · Tiêu chuẩn / A · Cao cấp</t>
  </si>
  <si>
    <t xml:space="preserve">Loại gói Google AI</t>
  </si>
  <si>
    <t xml:space="preserve">Ultra</t>
  </si>
  <si>
    <t xml:space="preserve">Video dài Kênh A / tháng</t>
  </si>
  <si>
    <t xml:space="preserve">Video dài Kênh B / tháng</t>
  </si>
  <si>
    <t xml:space="preserve">Kênh B chỉ chạy khi có ý kiến luật sư (docs/09). Đặt 0 nếu chưa có.</t>
  </si>
  <si>
    <t xml:space="preserve">Short cắt từ video dài</t>
  </si>
  <si>
    <t xml:space="preserve">Short native / tháng</t>
  </si>
  <si>
    <t xml:space="preserve">Tổng sản phẩm đăng / tháng</t>
  </si>
  <si>
    <t xml:space="preserve">Credit Flow cần</t>
  </si>
  <si>
    <t xml:space="preserve">Kênh A × credit theo cấp + Kênh B × credit cột B + short native × credit Veo Fast</t>
  </si>
  <si>
    <t xml:space="preserve">Credit Flow có</t>
  </si>
  <si>
    <t xml:space="preserve">Đủ credit Flow?</t>
  </si>
  <si>
    <t xml:space="preserve">Credit HeyGen cần</t>
  </si>
  <si>
    <t xml:space="preserve">Credit HeyGen có</t>
  </si>
  <si>
    <t xml:space="preserve">Đủ credit HeyGen?</t>
  </si>
  <si>
    <t xml:space="preserve">Ký tự ElevenLabs cần</t>
  </si>
  <si>
    <t xml:space="preserve">Ký tự ElevenLabs có</t>
  </si>
  <si>
    <t xml:space="preserve">Đủ ký tự ElevenLabs?</t>
  </si>
  <si>
    <t xml:space="preserve">Chi phí gói / tháng (USD)</t>
  </si>
  <si>
    <t xml:space="preserve">Chi phí gói / tháng (VND)</t>
  </si>
  <si>
    <t xml:space="preserve">Trọn gói / 1 video dài + các short của nó (USD)</t>
  </si>
  <si>
    <t xml:space="preserve">Trọn gói / 1 video dài (VND)</t>
  </si>
  <si>
    <t xml:space="preserve">Bình quân / 1 sản phẩm đăng (USD)</t>
  </si>
  <si>
    <t xml:space="preserve">Bình quân / 1 sản phẩm đăng (VND)</t>
  </si>
  <si>
    <t xml:space="preserve">E. Phương án HeyGen tất cả trong một (Video Agent + trình dựng) — chỉ Kênh A, so với quy trình hiện tại</t>
  </si>
  <si>
    <t xml:space="preserve">Hiện tại (A · Tiêu chuẩn)</t>
  </si>
  <si>
    <t xml:space="preserve">HeyGen @ mức thấp</t>
  </si>
  <si>
    <t xml:space="preserve">HeyGen @ mức cao</t>
  </si>
  <si>
    <t xml:space="preserve">Cách tính / ghi chú</t>
  </si>
  <si>
    <t xml:space="preserve">Credit/phút áp dụng</t>
  </si>
  <si>
    <t xml:space="preserve">Hiện tại: Avatar IV chỉ cho đoạn người dẫn</t>
  </si>
  <si>
    <t xml:space="preserve">Phút bị tính credit / video (gồm xuất lại)</t>
  </si>
  <si>
    <t xml:space="preserve">Hiện tại: 20% thời lượng × 1,3; HeyGen: cả video × hệ số xuất lại</t>
  </si>
  <si>
    <t xml:space="preserve">Credit Flow (Veo) / video</t>
  </si>
  <si>
    <t xml:space="preserve">Video Agent tự lấy B-roll (kho + AI) — giả định không dùng Veo</t>
  </si>
  <si>
    <t xml:space="preserve">Ký tự ElevenLabs / video</t>
  </si>
  <si>
    <t xml:space="preserve">Dùng giọng HeyGen (gồm trong credit)</t>
  </si>
  <si>
    <t xml:space="preserve">Chi phí biến đổi / video (USD)</t>
  </si>
  <si>
    <t xml:space="preserve">Credit quy ra tiền như mục B</t>
  </si>
  <si>
    <t xml:space="preserve">Chi phí biến đổi / video (VND)</t>
  </si>
  <si>
    <t xml:space="preserve">Gấp bao nhiêu lần hiện tại</t>
  </si>
  <si>
    <t xml:space="preserve">Video Kênh A / tháng (gói B)</t>
  </si>
  <si>
    <t xml:space="preserve">Credit HeyGen cần / tháng</t>
  </si>
  <si>
    <t xml:space="preserve">Tiền HeyGen / tháng (USD)</t>
  </si>
  <si>
    <t xml:space="preserve">Hiện tại: gói Pro ~1.500 credit của gói B. HeyGen: ước tính tuyến tính US$49/1.000 credit</t>
  </si>
  <si>
    <t xml:space="preserve">Tăng thêm so với hiện tại / tháng (USD)</t>
  </si>
  <si>
    <t xml:space="preserve">Tăng thêm so với hiện tại / tháng (VND)</t>
  </si>
  <si>
    <t xml:space="preserve">Gói B / tháng nếu đổi sang HeyGen tất cả trong một (USD)</t>
  </si>
  <si>
    <t xml:space="preserve">Gồm dự phòng 10% trên phần tăng thêm</t>
  </si>
  <si>
    <t xml:space="preserve">Gói B / tháng nếu đổi (VND)</t>
  </si>
  <si>
    <t xml:space="preserve">Khoản cắt được nếu Kênh B KHÔNG mở (USD/tháng)</t>
  </si>
  <si>
    <t xml:space="preserve">Hạ Flow Ultra → AI Pro và ElevenLabs Pro → Creator vì Kênh A không còn cần Veo/ElevenLabs. ⚠️ Short native khi đó làm bằng HeyGen hoặc giảm số lượng</t>
  </si>
  <si>
    <t xml:space="preserve">Chênh lệch ròng nếu Kênh B KHÔNG mở (USD/tháng)</t>
  </si>
  <si>
    <t xml:space="preserve">Âm = rẻ hơn quy trình hiện tại</t>
  </si>
  <si>
    <t xml:space="preserve">Chênh lệch ròng nếu Kênh B KHÔNG mở (VND/tháng)</t>
  </si>
  <si>
    <t xml:space="preserve">Năng suất: thời gian 10 bước &amp; năng lực / ngày</t>
  </si>
  <si>
    <t xml:space="preserve">Phút thao tác của 1 người cho 1 video review dài ~18 phút, cấp Tiêu chuẩn.</t>
  </si>
  <si>
    <t xml:space="preserve">Bước</t>
  </si>
  <si>
    <t xml:space="preserve">Công cụ chính</t>
  </si>
  <si>
    <t xml:space="preserve">Phút — tháng đầu</t>
  </si>
  <si>
    <t xml:space="preserve">Phút — thành thạo</t>
  </si>
  <si>
    <t xml:space="preserve">Chọn sản phẩm &amp; nghiên cứu (affiliate, tính năng, giá, đối thủ)</t>
  </si>
  <si>
    <t xml:space="preserve">Claude + skill nghiên cứu affiliate</t>
  </si>
  <si>
    <t xml:space="preserve">Ưu tiên sản phẩm có chương trình affiliate</t>
  </si>
  <si>
    <t xml:space="preserve">Dùng thử &amp; quay màn hình sản phẩm (dữ liệu thật)</t>
  </si>
  <si>
    <t xml:space="preserve">OBS / CapCut recorder (hoặc Claude in Chrome)</t>
  </si>
  <si>
    <t xml:space="preserve">Bắt buộc: review phải dựa trên trải nghiệm thật</t>
  </si>
  <si>
    <t xml:space="preserve">Kịch bản module + shot list + tuân thủ</t>
  </si>
  <si>
    <t xml:space="preserve">Claude (skill kich-ban-video)</t>
  </si>
  <si>
    <t xml:space="preserve">2.250–3.000 từ</t>
  </si>
  <si>
    <t xml:space="preserve">CỔNG 1 — duyệt kịch bản &amp; tuân thủ</t>
  </si>
  <si>
    <t xml:space="preserve">Người + Claude (skill qc-video)</t>
  </si>
  <si>
    <t xml:space="preserve">Disclosure, cảnh báo rủi ro, không bịa trải nghiệm</t>
  </si>
  <si>
    <t xml:space="preserve">Giọng đọc ~18 phút</t>
  </si>
  <si>
    <t xml:space="preserve">Dùng chung cho người dẫn AI</t>
  </si>
  <si>
    <t xml:space="preserve">Người dẫn AI (chỉ Kênh A)</t>
  </si>
  <si>
    <t xml:space="preserve">HeyGen Avatar IV (lồng từ file giọng)</t>
  </si>
  <si>
    <t xml:space="preserve">Kênh B bỏ bước này</t>
  </si>
  <si>
    <t xml:space="preserve">B-roll người thật AI + ảnh</t>
  </si>
  <si>
    <t xml:space="preserve">Veo 3.1 / Nano Banana Pro</t>
  </si>
  <si>
    <t xml:space="preserve">Dựng: ráp màn hình, zoom, bảng giá, so sánh, phụ đề</t>
  </si>
  <si>
    <t xml:space="preserve">CapCut Pro (template kênh)</t>
  </si>
  <si>
    <t xml:space="preserve">Bước dài nhất</t>
  </si>
  <si>
    <t xml:space="preserve">Thumbnail + SEO + link affiliate + disclosure</t>
  </si>
  <si>
    <t xml:space="preserve">Claude (skill seo-xuat-ban) + Nano Banana Pro</t>
  </si>
  <si>
    <t xml:space="preserve">CỔNG 2 — QC video, xuất, hẹn giờ</t>
  </si>
  <si>
    <t xml:space="preserve">Người + checklist</t>
  </si>
  <si>
    <t xml:space="preserve">Bật nhãn nội dung AI</t>
  </si>
  <si>
    <t xml:space="preserve">Tổng phút / 1 video dài</t>
  </si>
  <si>
    <t xml:space="preserve">Tổng giờ / 1 video dài</t>
  </si>
  <si>
    <t xml:space="preserve">Cắt 5 short từ 1 video dài + duyệt + hẹn giờ</t>
  </si>
  <si>
    <t xml:space="preserve">Tool cat_short.py / OpusClip</t>
  </si>
  <si>
    <t xml:space="preserve">1 short native dọc 9:16</t>
  </si>
  <si>
    <t xml:space="preserve">Claude + HeyGen/Veo + CapCut</t>
  </si>
  <si>
    <t xml:space="preserve">Năng lực 1 người / ngày</t>
  </si>
  <si>
    <t xml:space="preserve">Phút làm việc hiệu quả / ngày</t>
  </si>
  <si>
    <t xml:space="preserve">Số video dài tối đa / ngày (kèm cắt short)</t>
  </si>
  <si>
    <t xml:space="preserve">Kịch bản sản lượng / ngày (1 người)</t>
  </si>
  <si>
    <t xml:space="preserve">Kịch bản</t>
  </si>
  <si>
    <t xml:space="preserve">Video dài / ngày</t>
  </si>
  <si>
    <t xml:space="preserve">Short cắt / ngày</t>
  </si>
  <si>
    <t xml:space="preserve">Short native / ngày</t>
  </si>
  <si>
    <t xml:space="preserve">Phút cần</t>
  </si>
  <si>
    <t xml:space="preserve">Tỷ lệ dùng</t>
  </si>
  <si>
    <t xml:space="preserve">TỐI THIỂU — tuần 1–4 (mức tháng đầu)</t>
  </si>
  <si>
    <t xml:space="preserve">TIÊU CHUẨN — từ tháng 2</t>
  </si>
  <si>
    <t xml:space="preserve">TỐI ĐA — 1 người thành thạo</t>
  </si>
  <si>
    <t xml:space="preserve">Trần đăng khuyến nghị / 1 kênh</t>
  </si>
  <si>
    <t xml:space="preserve">Nền tảng</t>
  </si>
  <si>
    <t xml:space="preserve">Loại</t>
  </si>
  <si>
    <t xml:space="preserve">Tối thiểu</t>
  </si>
  <si>
    <t xml:space="preserve">Tối đa</t>
  </si>
  <si>
    <t xml:space="preserve">YouTube</t>
  </si>
  <si>
    <t xml:space="preserve">Video dài ≥ 15 phút</t>
  </si>
  <si>
    <t xml:space="preserve">2/tuần</t>
  </si>
  <si>
    <t xml:space="preserve">1/ngày</t>
  </si>
  <si>
    <t xml:space="preserve">Kênh A ~3/tuần, Kênh B ~2/tuần ở gói B</t>
  </si>
  <si>
    <t xml:space="preserve">Shorts</t>
  </si>
  <si>
    <t xml:space="preserve">4/ngày</t>
  </si>
  <si>
    <t xml:space="preserve">Mọi short gắn Related video về bản dài</t>
  </si>
  <si>
    <t xml:space="preserve">TikTok</t>
  </si>
  <si>
    <t xml:space="preserve">Video dọc</t>
  </si>
  <si>
    <t xml:space="preserve">3/ngày</t>
  </si>
  <si>
    <t xml:space="preserve">Kênh A; Kênh B hạn chế (quy định tài chính)</t>
  </si>
  <si>
    <t xml:space="preserve">Facebook / Instagram</t>
  </si>
  <si>
    <t xml:space="preserve">Reels</t>
  </si>
  <si>
    <t xml:space="preserve">2/ngày</t>
  </si>
  <si>
    <t xml:space="preserve">Kênh B: kiểm tra quy định quảng cáo tài chính của Meta</t>
  </si>
  <si>
    <t xml:space="preserve">So sánh thời gian Kênh A: quy trình hiện tại vs HeyGen tất cả trong một (Video Agent + trình dựng)</t>
  </si>
  <si>
    <t xml:space="preserve">Hiện tại · tháng đầu</t>
  </si>
  <si>
    <t xml:space="preserve">Hiện tại · thành thạo</t>
  </si>
  <si>
    <t xml:space="preserve">HeyGen · tháng đầu</t>
  </si>
  <si>
    <t xml:space="preserve">HeyGen · thành thạo</t>
  </si>
  <si>
    <t xml:space="preserve">Bước 1–4: nghiên cứu, test &amp; quay màn hình, kịch bản, Cổng 1</t>
  </si>
  <si>
    <t xml:space="preserve">Giữ nguyên — Video Agent không test sản phẩm thay được</t>
  </si>
  <si>
    <t xml:space="preserve">Bước 5–8: giọng, người dẫn, B-roll, dựng</t>
  </si>
  <si>
    <t xml:space="preserve">HeyGen: Video Agent tạo bản nháp từ kịch bản → chèn quay màn hình, bảng giá, phụ đề trong trình dựng. ⚠️ Ước tính — đo ở video thử #2</t>
  </si>
  <si>
    <t xml:space="preserve">Bước 9–10: thumbnail/SEO, Cổng 2</t>
  </si>
  <si>
    <t xml:space="preserve">Giữ nguyên</t>
  </si>
  <si>
    <t xml:space="preserve">Cắt 5 short</t>
  </si>
  <si>
    <t xml:space="preserve">Vẫn dùng tool cat_short.py</t>
  </si>
  <si>
    <t xml:space="preserve">Video dài / ngày / người (kèm cắt short)</t>
  </si>
  <si>
    <t xml:space="preserve">Hiệu quả kinh tế (gói B, 12 video Kênh A / tháng)</t>
  </si>
  <si>
    <t xml:space="preserve">Tháng đầu</t>
  </si>
  <si>
    <t xml:space="preserve">Thành thạo</t>
  </si>
  <si>
    <t xml:space="preserve">Phút tiết kiệm / video</t>
  </si>
  <si>
    <t xml:space="preserve">Tỷ lệ thời gian tiết kiệm</t>
  </si>
  <si>
    <t xml:space="preserve">Giờ tiết kiệm / tháng</t>
  </si>
  <si>
    <t xml:space="preserve">Tiền HeyGen tăng thêm / tháng @ mức thấp (VND)</t>
  </si>
  <si>
    <t xml:space="preserve">Khi chạy cả 2 kênh</t>
  </si>
  <si>
    <t xml:space="preserve">Tiền HeyGen tăng thêm / tháng @ mức cao (VND)</t>
  </si>
  <si>
    <t xml:space="preserve">Giá 1 giờ tiết kiệm @ mức thấp (VND/giờ)</t>
  </si>
  <si>
    <t xml:space="preserve">Giá 1 giờ tiết kiệm @ mức cao (VND/giờ)</t>
  </si>
  <si>
    <t xml:space="preserve">So sánh: chi phí nhân sự / giờ (VND/giờ)</t>
  </si>
  <si>
    <t xml:space="preserve">Lương giả định / (22 ngày × 7 giờ)</t>
  </si>
  <si>
    <t xml:space="preserve">Doanh thu (affiliate + quảng cáo), hoà vốn &amp; mục tiêu YPP</t>
  </si>
  <si>
    <t xml:space="preserve">Affiliate có từ video đầu tiên (không cần YPP). Quảng cáo YouTube chỉ có SAU khi vào YPP. Mọi tỷ lệ chuyển đổi là GIẢ ĐỊNH — thay bằng số thật từ dashboard affiliate sau 30 ngày.</t>
  </si>
  <si>
    <t xml:space="preserve">RPM quảng cáo Kênh A (Tech &amp; Software)</t>
  </si>
  <si>
    <t xml:space="preserve">Nguồn thứ cấp 2026: Tech &amp; Software Reviews US$8–15; Technology US$10–20.</t>
  </si>
  <si>
    <t xml:space="preserve">RPM quảng cáo Kênh B (Finance/Crypto)</t>
  </si>
  <si>
    <t xml:space="preserve">Finance US$10–30; Crypto US$8–20, biến động mạnh. Chỉ khi kênh được kiếm tiền.</t>
  </si>
  <si>
    <t xml:space="preserve">RPM Shorts</t>
  </si>
  <si>
    <t xml:space="preserve">Phổ biến US$0,03–0,10.</t>
  </si>
  <si>
    <t xml:space="preserve">Lượt xem TB / video dài / tháng — Kênh A</t>
  </si>
  <si>
    <t xml:space="preserve">lượt</t>
  </si>
  <si>
    <t xml:space="preserve">Thận trọng cho 3 tháng đầu. Nhập số thật từ YouTube Studio.</t>
  </si>
  <si>
    <t xml:space="preserve">Lượt xem TB / video dài / tháng — Kênh B</t>
  </si>
  <si>
    <t xml:space="preserve">Thận trọng cho 3 tháng đầu.</t>
  </si>
  <si>
    <t xml:space="preserve">Lượt xem TB / short / tháng</t>
  </si>
  <si>
    <t xml:space="preserve">Gói đang dùng (A/B/C)</t>
  </si>
  <si>
    <t xml:space="preserve">Chi phí nhân sự / tháng</t>
  </si>
  <si>
    <t xml:space="preserve">VND</t>
  </si>
  <si>
    <t xml:space="preserve">GIẢ ĐỊNH — thay bằng số thực tế.</t>
  </si>
  <si>
    <t xml:space="preserve">Kênh A đã vào YPP?</t>
  </si>
  <si>
    <t xml:space="preserve">Chưa</t>
  </si>
  <si>
    <t xml:space="preserve">Gõ Có / Chưa</t>
  </si>
  <si>
    <t xml:space="preserve">Kênh B đã vào YPP?</t>
  </si>
  <si>
    <t xml:space="preserve">Phễu affiliate (giả định thận trọng — sửa theo số thật)</t>
  </si>
  <si>
    <t xml:space="preserve">Mảng</t>
  </si>
  <si>
    <t xml:space="preserve">Kênh</t>
  </si>
  <si>
    <t xml:space="preserve">Tỷ trọng lượt xem trong kênh</t>
  </si>
  <si>
    <t xml:space="preserve">CTR link mô tả</t>
  </si>
  <si>
    <t xml:space="preserve">Tỷ lệ chuyển đổi / click</t>
  </si>
  <si>
    <t xml:space="preserve">Hoa hồng TB / chuyển đổi (USD)</t>
  </si>
  <si>
    <t xml:space="preserve">Doanh thu / 1.000 lượt xem kênh (USD)</t>
  </si>
  <si>
    <t xml:space="preserve">SaaS &amp; AI tool</t>
  </si>
  <si>
    <t xml:space="preserve">20–50% định kỳ; quy về 1 khoản TB (chưa tính tái tục).</t>
  </si>
  <si>
    <t xml:space="preserve">SPVL (Amazon)</t>
  </si>
  <si>
    <t xml:space="preserve">Đơn TB US$80 × ~3% (điện tử ~2%).</t>
  </si>
  <si>
    <t xml:space="preserve">Forex (CPA)</t>
  </si>
  <si>
    <t xml:space="preserve">CPA phổ biến US$200–1.200/khách đủ điều kiện.</t>
  </si>
  <si>
    <t xml:space="preserve">Crypto (chia phí)</t>
  </si>
  <si>
    <t xml:space="preserve">20–50% phí giao dịch; quy về giá trị trọn đời TB.</t>
  </si>
  <si>
    <t xml:space="preserve">Affiliate / 1.000 lượt xem — Kênh A</t>
  </si>
  <si>
    <t xml:space="preserve">Affiliate / 1.000 lượt xem — Kênh B</t>
  </si>
  <si>
    <t xml:space="preserve">Kiểm tra tỷ trọng mỗi kênh = 100%</t>
  </si>
  <si>
    <t xml:space="preserve">Kết quả theo tháng</t>
  </si>
  <si>
    <t xml:space="preserve">Chi phí công cụ / tháng (USD)</t>
  </si>
  <si>
    <t xml:space="preserve">Chi phí nhân sự / tháng (USD)</t>
  </si>
  <si>
    <t xml:space="preserve">Tổng chi phí / tháng (USD)</t>
  </si>
  <si>
    <t xml:space="preserve">Short / tháng</t>
  </si>
  <si>
    <t xml:space="preserve">Doanh thu / 1.000 lượt xem — Kênh A (affiliate + QC nếu có YPP)</t>
  </si>
  <si>
    <t xml:space="preserve">Doanh thu / 1.000 lượt xem — Kênh B</t>
  </si>
  <si>
    <t xml:space="preserve">Doanh thu Kênh A (USD)</t>
  </si>
  <si>
    <t xml:space="preserve">Doanh thu Kênh B (USD)</t>
  </si>
  <si>
    <t xml:space="preserve">Doanh thu Shorts (USD, khi Kênh A có YPP)</t>
  </si>
  <si>
    <t xml:space="preserve">Tổng doanh thu (USD)</t>
  </si>
  <si>
    <t xml:space="preserve">Lãi / lỗ (USD)</t>
  </si>
  <si>
    <t xml:space="preserve">Lãi / lỗ (VND)</t>
  </si>
  <si>
    <t xml:space="preserve">Lượt xem / video dài để hoà vốn CÔNG CỤ</t>
  </si>
  <si>
    <t xml:space="preserve">Lượt xem / video dài để hoà vốn TOÀN BỘ (gồm nhân sự)</t>
  </si>
  <si>
    <t xml:space="preserve">Mục tiêu YPP Kênh A theo ngưỡng cũ (trước 31/01/2027)</t>
  </si>
  <si>
    <t xml:space="preserve">Hạn chót nộp YPP theo ngưỡng cũ</t>
  </si>
  <si>
    <t xml:space="preserve">Từ 01/02/2027 kênh mới cần 8.000 giờ xem hoặc 20 triệu view Shorts (theo TechTimes 11/08/2026; xác nhận trên blog YouTube).</t>
  </si>
  <si>
    <t xml:space="preserve">Ngày đăng video đầu tiên Kênh A</t>
  </si>
  <si>
    <t xml:space="preserve">Video dài Kênh A / tuần</t>
  </si>
  <si>
    <t xml:space="preserve">video</t>
  </si>
  <si>
    <t xml:space="preserve">Gói B: 12 video/tháng.</t>
  </si>
  <si>
    <t xml:space="preserve">Thời lượng xem TB / lượt (AVD)</t>
  </si>
  <si>
    <t xml:space="preserve">phút</t>
  </si>
  <si>
    <t xml:space="preserve">≈30% của video 18 phút.</t>
  </si>
  <si>
    <t xml:space="preserve">Giờ xem công khai cần</t>
  </si>
  <si>
    <t xml:space="preserve">Kèm 1.000 người đăng ký.</t>
  </si>
  <si>
    <t xml:space="preserve">Số tuần còn lại</t>
  </si>
  <si>
    <t xml:space="preserve">Số video dài Kênh A đăng đến hạn</t>
  </si>
  <si>
    <t xml:space="preserve">Tổng lượt xem video dài cần</t>
  </si>
  <si>
    <t xml:space="preserve">Lượt xem TB cần / video dài</t>
  </si>
  <si>
    <t xml:space="preserve">Khung giờ đăng — giờ Việt Nam ↔ giờ New York (ET)</t>
  </si>
  <si>
    <t xml:space="preserve">Mỹ đổi giờ mùa đông 01/11/2026 → chênh 12 giờ (đến 14/03/2027). Mọi bài đều HẸN GIỜ.</t>
  </si>
  <si>
    <t xml:space="preserve">Chênh lệch giờ VN − ET (giờ)</t>
  </si>
  <si>
    <t xml:space="preserve">Chênh lệch giờ VN − CET/Paris (giờ)</t>
  </si>
  <si>
    <t xml:space="preserve">Kênh / nền tảng</t>
  </si>
  <si>
    <t xml:space="preserve">Giờ đăng (giờ VN)</t>
  </si>
  <si>
    <t xml:space="preserve">Giờ New York (ET)</t>
  </si>
  <si>
    <t xml:space="preserve">Giờ Paris (CET)</t>
  </si>
  <si>
    <t xml:space="preserve">Tần suất</t>
  </si>
  <si>
    <t xml:space="preserve">Lý do</t>
  </si>
  <si>
    <t xml:space="preserve">A · YouTube</t>
  </si>
  <si>
    <t xml:space="preserve">Video dài</t>
  </si>
  <si>
    <t xml:space="preserve">T3, T5, T7</t>
  </si>
  <si>
    <t xml:space="preserve">14:00 ET — người dùng B2B/tech xem giờ nghỉ trưa–chiều</t>
  </si>
  <si>
    <t xml:space="preserve">B · YouTube</t>
  </si>
  <si>
    <t xml:space="preserve">T2, T4</t>
  </si>
  <si>
    <t xml:space="preserve">15:00 ET</t>
  </si>
  <si>
    <t xml:space="preserve">Short #1</t>
  </si>
  <si>
    <t xml:space="preserve">Hằng ngày</t>
  </si>
  <si>
    <t xml:space="preserve">Sáng Mỹ / chiều châu Âu</t>
  </si>
  <si>
    <t xml:space="preserve">Short #2</t>
  </si>
  <si>
    <t xml:space="preserve">Trưa Mỹ / tối châu Âu</t>
  </si>
  <si>
    <t xml:space="preserve">11:00 ET — giờ thị trường Mỹ mở</t>
  </si>
  <si>
    <t xml:space="preserve">Tối Mỹ</t>
  </si>
  <si>
    <t xml:space="preserve">A · TikTok</t>
  </si>
  <si>
    <t xml:space="preserve">Short</t>
  </si>
  <si>
    <t xml:space="preserve">1–2/ngày</t>
  </si>
  <si>
    <t xml:space="preserve">18:00 ET</t>
  </si>
  <si>
    <t xml:space="preserve">A · Facebook/Instagram</t>
  </si>
  <si>
    <t xml:space="preserve">12:00 ET / 18:00 Paris</t>
  </si>
  <si>
    <t xml:space="preserve">Theo dõi sản xuất từng video</t>
  </si>
  <si>
    <t xml:space="preserve">Mỗi dòng = 1 video dài. Chọn từ danh sách. Dòng 5 là VÍ DỤ — xoá khi dùng thật.</t>
  </si>
  <si>
    <t xml:space="preserve">Mã video</t>
  </si>
  <si>
    <t xml:space="preserve">Sản phẩm / chủ đề (EN)</t>
  </si>
  <si>
    <t xml:space="preserve">Chương trình affiliate</t>
  </si>
  <si>
    <t xml:space="preserve">Ngày giao</t>
  </si>
  <si>
    <t xml:space="preserve">Quay màn hình thật</t>
  </si>
  <si>
    <t xml:space="preserve">CỔNG 1</t>
  </si>
  <si>
    <t xml:space="preserve">Giọng</t>
  </si>
  <si>
    <t xml:space="preserve">B-roll</t>
  </si>
  <si>
    <t xml:space="preserve">Dựng</t>
  </si>
  <si>
    <t xml:space="preserve">CỔNG 2</t>
  </si>
  <si>
    <t xml:space="preserve">Disclosure đủ (lời + chữ + mô tả)</t>
  </si>
  <si>
    <t xml:space="preserve">Ngày đăng</t>
  </si>
  <si>
    <t xml:space="preserve">Link YouTube</t>
  </si>
  <si>
    <t xml:space="preserve">Số short</t>
  </si>
  <si>
    <t xml:space="preserve">Lỗi ở Cổng 2</t>
  </si>
  <si>
    <t xml:space="preserve">Nguyên nhân gốc → đã sửa?</t>
  </si>
  <si>
    <t xml:space="preserve">V001</t>
  </si>
  <si>
    <t xml:space="preserve">AI tool</t>
  </si>
  <si>
    <t xml:space="preserve">Notion AI Review 2026: Worth It?</t>
  </si>
  <si>
    <t xml:space="preserve">Có — 20% định kỳ</t>
  </si>
  <si>
    <t xml:space="preserve">Xong</t>
  </si>
  <si>
    <t xml:space="preserve">Đạt</t>
  </si>
  <si>
    <t xml:space="preserve">Đang làm</t>
  </si>
  <si>
    <t xml:space="preserve">Chưa làm</t>
  </si>
  <si>
    <t xml:space="preserve">Chưa duyệt</t>
  </si>
  <si>
    <t xml:space="preserve">KPI hằng tuần (mỗi kênh 1 bảng hoặc thêm cột Kênh)</t>
  </si>
  <si>
    <t xml:space="preserve">Nhập số từ YouTube Studio &amp; dashboard affiliate mỗi thứ Hai. Dòng 'Mục tiêu' chỉnh được. Dòng tuần 1 là VÍ DỤ.</t>
  </si>
  <si>
    <t xml:space="preserve">Tuần</t>
  </si>
  <si>
    <t xml:space="preserve">Video dài đã đăng</t>
  </si>
  <si>
    <t xml:space="preserve">Short đã đăng</t>
  </si>
  <si>
    <t xml:space="preserve">CTR thumbnail</t>
  </si>
  <si>
    <t xml:space="preserve">AVD (% thời lượng)</t>
  </si>
  <si>
    <t xml:space="preserve">Lượt xem video dài</t>
  </si>
  <si>
    <t xml:space="preserve">Lượt xem Shorts</t>
  </si>
  <si>
    <t xml:space="preserve">Người đăng ký mới</t>
  </si>
  <si>
    <t xml:space="preserve">Giờ xem tích luỹ</t>
  </si>
  <si>
    <t xml:space="preserve">Click affiliate</t>
  </si>
  <si>
    <t xml:space="preserve">Chuyển đổi affiliate</t>
  </si>
  <si>
    <t xml:space="preserve">Doanh thu affiliate (USD)</t>
  </si>
  <si>
    <t xml:space="preserve">% video phải sửa sau Cổng 2</t>
  </si>
  <si>
    <t xml:space="preserve">Chi phí tuần (USD)</t>
  </si>
  <si>
    <t xml:space="preserve">Chi phí / 1.000 lượt xem (USD)</t>
  </si>
  <si>
    <t xml:space="preserve">Mục tiêu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</si>
  <si>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</si>
  <si>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</si>
  <si>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</si>
  <si>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</si>
  <si>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</si>
  <si>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</si>
  <si>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</si>
  <si>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</si>
  <si>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Tuần 9</t>
  </si>
  <si>
    <t xml:space="preserve">Tuần 10</t>
  </si>
  <si>
    <t xml:space="preserve">Tuần 11</t>
  </si>
  <si>
    <t xml:space="preserve">Tuần 12</t>
  </si>
  <si>
    <t xml:space="preserve">Tuần 13</t>
  </si>
  <si>
    <t xml:space="preserve">Tuần 14</t>
  </si>
  <si>
    <t xml:space="preserve">Tuần 15</t>
  </si>
  <si>
    <t xml:space="preserve">Tuần 16</t>
  </si>
  <si>
    <t xml:space="preserve">Tuần 17</t>
  </si>
  <si>
    <t xml:space="preserve">Tuần 18</t>
  </si>
  <si>
    <t xml:space="preserve">Tuần 19</t>
  </si>
  <si>
    <t xml:space="preserve">Tuần 20</t>
  </si>
  <si>
    <t xml:space="preserve">Tuần 21</t>
  </si>
  <si>
    <t xml:space="preserve">Tuần 22</t>
  </si>
  <si>
    <t xml:space="preserve">Tuần 23</t>
  </si>
  <si>
    <t xml:space="preserve">Tuần 24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</si>
</sst>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#,##0.0;\(#,##0.0\);\-"/>
    <numFmt numFmtId="167" formatCode="0.000"/>
    <numFmt numFmtId="168" formatCode="0.0%;\(0.0%\);\-"/>
    <numFmt numFmtId="169" formatCode="\$#,##0.00;&quot;($&quot;#,##0.00\);\-"/>
    <numFmt numFmtId="170" formatCode="#,##0&quot; ₫&quot;;\(#,##0&quot; ₫)&quot;;\-"/>
    <numFmt numFmtId="171" formatCode="#,##0.00;\(#,##0.00\);\-"/>
    <numFmt numFmtId="172" formatCode="0.0\x"/>
    <numFmt numFmtId="173" formatCode="dd/mm/yyyy"/>
    <numFmt numFmtId="174" formatCode="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7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16</v>
      </c>
      <c r="B14" s="4"/>
    </row>
    <row r="15" customFormat="false" ht="15" hidden="false" customHeight="false" outlineLevel="0" collapsed="false">
      <c r="A15" s="4" t="s">
        <v>17</v>
      </c>
      <c r="B15" s="4" t="s">
        <v>18</v>
      </c>
    </row>
    <row r="16" customFormat="false" ht="15" hidden="false" customHeight="false" outlineLevel="0" collapsed="false">
      <c r="A16" s="4" t="s">
        <v>19</v>
      </c>
      <c r="B16" s="4" t="s">
        <v>20</v>
      </c>
    </row>
    <row r="17" customFormat="false" ht="15" hidden="false" customHeight="false" outlineLevel="0" collapsed="false">
      <c r="A17" s="4" t="s">
        <v>21</v>
      </c>
      <c r="B17" s="4" t="s">
        <v>22</v>
      </c>
    </row>
    <row r="18" customFormat="false" ht="15" hidden="false" customHeight="false" outlineLevel="0" collapsed="false">
      <c r="A18" s="4" t="s">
        <v>23</v>
      </c>
      <c r="B18" s="4" t="s">
        <v>24</v>
      </c>
    </row>
    <row r="19" customFormat="false" ht="15" hidden="false" customHeight="false" outlineLevel="0" collapsed="false">
      <c r="A19" s="4" t="s">
        <v>25</v>
      </c>
      <c r="B19" s="4" t="s">
        <v>26</v>
      </c>
    </row>
    <row r="20" customFormat="false" ht="15" hidden="false" customHeight="false" outlineLevel="0" collapsed="false">
      <c r="A20" s="4" t="s">
        <v>27</v>
      </c>
      <c r="B20" s="4" t="s">
        <v>28</v>
      </c>
    </row>
    <row r="21" customFormat="false" ht="15" hidden="false" customHeight="false" outlineLevel="0" collapsed="false">
      <c r="A21" s="4" t="s">
        <v>29</v>
      </c>
      <c r="B21" s="4" t="s">
        <v>30</v>
      </c>
    </row>
    <row r="22" customFormat="false" ht="15" hidden="false" customHeight="false" outlineLevel="0" collapsed="false">
      <c r="A22" s="4" t="s">
        <v>31</v>
      </c>
      <c r="B22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8" t="s">
        <v>35</v>
      </c>
      <c r="B4" s="8" t="s">
        <v>36</v>
      </c>
      <c r="C4" s="8" t="s">
        <v>37</v>
      </c>
      <c r="D4" s="8" t="s">
        <v>38</v>
      </c>
    </row>
    <row r="5" customFormat="false" ht="64.9" hidden="false" customHeight="false" outlineLevel="0" collapsed="false">
      <c r="A5" s="9" t="s">
        <v>39</v>
      </c>
      <c r="B5" s="10" t="n">
        <v>26500</v>
      </c>
      <c r="C5" s="11" t="s">
        <v>40</v>
      </c>
      <c r="D5" s="9" t="s">
        <v>41</v>
      </c>
    </row>
    <row r="6" customFormat="false" ht="64.9" hidden="false" customHeight="false" outlineLevel="0" collapsed="false">
      <c r="A6" s="9" t="s">
        <v>42</v>
      </c>
      <c r="B6" s="10" t="n">
        <v>1080</v>
      </c>
      <c r="C6" s="11" t="s">
        <v>43</v>
      </c>
      <c r="D6" s="9" t="s">
        <v>44</v>
      </c>
    </row>
    <row r="7" customFormat="false" ht="26.85" hidden="false" customHeight="false" outlineLevel="0" collapsed="false">
      <c r="A7" s="9" t="s">
        <v>45</v>
      </c>
      <c r="B7" s="12" t="n">
        <v>8</v>
      </c>
      <c r="C7" s="11" t="s">
        <v>43</v>
      </c>
      <c r="D7" s="9" t="s">
        <v>46</v>
      </c>
    </row>
    <row r="8" customFormat="false" ht="15" hidden="false" customHeight="false" outlineLevel="0" collapsed="false">
      <c r="A8" s="9" t="s">
        <v>47</v>
      </c>
      <c r="B8" s="13" t="n">
        <v>2</v>
      </c>
      <c r="C8" s="11" t="s">
        <v>48</v>
      </c>
      <c r="D8" s="9"/>
    </row>
    <row r="9" customFormat="false" ht="15" hidden="false" customHeight="false" outlineLevel="0" collapsed="false">
      <c r="A9" s="9" t="s">
        <v>49</v>
      </c>
      <c r="B9" s="12" t="n">
        <v>3</v>
      </c>
      <c r="C9" s="11" t="s">
        <v>50</v>
      </c>
      <c r="D9" s="9"/>
    </row>
    <row r="10" customFormat="false" ht="64.9" hidden="false" customHeight="false" outlineLevel="0" collapsed="false">
      <c r="A10" s="9" t="s">
        <v>51</v>
      </c>
      <c r="B10" s="10" t="n">
        <v>5</v>
      </c>
      <c r="C10" s="11" t="s">
        <v>52</v>
      </c>
      <c r="D10" s="9" t="s">
        <v>53</v>
      </c>
    </row>
    <row r="11" customFormat="false" ht="15" hidden="false" customHeight="false" outlineLevel="0" collapsed="false">
      <c r="A11" s="9" t="s">
        <v>54</v>
      </c>
      <c r="B11" s="12" t="n">
        <v>45</v>
      </c>
      <c r="C11" s="11" t="s">
        <v>43</v>
      </c>
      <c r="D11" s="9"/>
    </row>
    <row r="12" customFormat="false" ht="15" hidden="false" customHeight="false" outlineLevel="0" collapsed="false">
      <c r="A12" s="9" t="s">
        <v>55</v>
      </c>
      <c r="B12" s="13" t="n">
        <v>2.5</v>
      </c>
      <c r="C12" s="11" t="s">
        <v>48</v>
      </c>
      <c r="D12" s="9"/>
    </row>
    <row r="13" customFormat="false" ht="26.85" hidden="false" customHeight="false" outlineLevel="0" collapsed="false">
      <c r="A13" s="9" t="s">
        <v>56</v>
      </c>
      <c r="B13" s="12" t="n">
        <v>900</v>
      </c>
      <c r="C13" s="11" t="s">
        <v>57</v>
      </c>
      <c r="D13" s="9" t="s">
        <v>58</v>
      </c>
    </row>
    <row r="14" customFormat="false" ht="15" hidden="false" customHeight="false" outlineLevel="0" collapsed="false">
      <c r="A14" s="9" t="s">
        <v>59</v>
      </c>
      <c r="B14" s="13" t="n">
        <v>1.3</v>
      </c>
      <c r="C14" s="11" t="s">
        <v>48</v>
      </c>
      <c r="D14" s="9"/>
    </row>
    <row r="15" customFormat="false" ht="15" hidden="false" customHeight="false" outlineLevel="0" collapsed="false">
      <c r="A15" s="9" t="s">
        <v>60</v>
      </c>
      <c r="B15" s="12" t="n">
        <v>22</v>
      </c>
      <c r="C15" s="11" t="s">
        <v>61</v>
      </c>
      <c r="D15" s="9"/>
    </row>
    <row r="16" customFormat="false" ht="15" hidden="false" customHeight="false" outlineLevel="0" collapsed="false">
      <c r="A16" s="9" t="s">
        <v>62</v>
      </c>
      <c r="B16" s="12" t="n">
        <v>7</v>
      </c>
      <c r="C16" s="11" t="s">
        <v>63</v>
      </c>
      <c r="D16" s="9"/>
    </row>
    <row r="17" customFormat="false" ht="64.9" hidden="false" customHeight="false" outlineLevel="0" collapsed="false">
      <c r="A17" s="9" t="s">
        <v>64</v>
      </c>
      <c r="B17" s="10" t="n">
        <v>20</v>
      </c>
      <c r="C17" s="11" t="s">
        <v>65</v>
      </c>
      <c r="D17" s="9" t="s">
        <v>66</v>
      </c>
    </row>
    <row r="18" customFormat="false" ht="52.2" hidden="false" customHeight="false" outlineLevel="0" collapsed="false">
      <c r="A18" s="9" t="s">
        <v>67</v>
      </c>
      <c r="B18" s="14" t="n">
        <f aca="false">49/1000</f>
        <v>0.049</v>
      </c>
      <c r="C18" s="11" t="s">
        <v>68</v>
      </c>
      <c r="D18" s="9" t="s">
        <v>69</v>
      </c>
    </row>
    <row r="19" customFormat="false" ht="15" hidden="false" customHeight="false" outlineLevel="0" collapsed="false">
      <c r="A19" s="9" t="s">
        <v>70</v>
      </c>
      <c r="B19" s="13" t="n">
        <v>1.3</v>
      </c>
      <c r="C19" s="11" t="s">
        <v>48</v>
      </c>
      <c r="D19" s="9"/>
    </row>
    <row r="21" customFormat="false" ht="15" hidden="false" customHeight="false" outlineLevel="0" collapsed="false">
      <c r="A21" s="15" t="s">
        <v>71</v>
      </c>
      <c r="B21" s="16"/>
      <c r="C21" s="16"/>
      <c r="D21" s="16"/>
      <c r="E21" s="16"/>
      <c r="F21" s="16"/>
    </row>
    <row r="22" customFormat="false" ht="26.85" hidden="false" customHeight="false" outlineLevel="0" collapsed="false">
      <c r="A22" s="8" t="s">
        <v>72</v>
      </c>
      <c r="B22" s="8" t="s">
        <v>73</v>
      </c>
      <c r="C22" s="8" t="s">
        <v>74</v>
      </c>
      <c r="D22" s="8" t="s">
        <v>75</v>
      </c>
      <c r="E22" s="8" t="s">
        <v>76</v>
      </c>
      <c r="F22" s="8" t="s">
        <v>77</v>
      </c>
    </row>
    <row r="23" customFormat="false" ht="26.85" hidden="false" customHeight="false" outlineLevel="0" collapsed="false">
      <c r="A23" s="9" t="s">
        <v>78</v>
      </c>
      <c r="B23" s="17" t="n">
        <v>0.15</v>
      </c>
      <c r="C23" s="17" t="n">
        <v>0.2</v>
      </c>
      <c r="D23" s="17" t="n">
        <v>0.25</v>
      </c>
      <c r="E23" s="17" t="n">
        <v>0</v>
      </c>
      <c r="F23" s="9" t="s">
        <v>79</v>
      </c>
    </row>
    <row r="24" customFormat="false" ht="26.85" hidden="false" customHeight="false" outlineLevel="0" collapsed="false">
      <c r="A24" s="9" t="s">
        <v>80</v>
      </c>
      <c r="B24" s="17" t="n">
        <v>0.15</v>
      </c>
      <c r="C24" s="17" t="n">
        <v>0.2</v>
      </c>
      <c r="D24" s="17" t="n">
        <v>0.3</v>
      </c>
      <c r="E24" s="17" t="n">
        <v>0.2</v>
      </c>
      <c r="F24" s="9" t="s">
        <v>81</v>
      </c>
    </row>
    <row r="25" customFormat="false" ht="15" hidden="false" customHeight="false" outlineLevel="0" collapsed="false">
      <c r="A25" s="9" t="s">
        <v>82</v>
      </c>
      <c r="B25" s="17" t="n">
        <v>0.5</v>
      </c>
      <c r="C25" s="17" t="n">
        <v>0.4</v>
      </c>
      <c r="D25" s="17" t="n">
        <v>0.3</v>
      </c>
      <c r="E25" s="17" t="n">
        <v>0.55</v>
      </c>
      <c r="F25" s="9" t="s">
        <v>83</v>
      </c>
    </row>
    <row r="26" customFormat="false" ht="15" hidden="false" customHeight="false" outlineLevel="0" collapsed="false">
      <c r="A26" s="9" t="s">
        <v>84</v>
      </c>
      <c r="B26" s="17" t="n">
        <v>0.2</v>
      </c>
      <c r="C26" s="17" t="n">
        <v>0.2</v>
      </c>
      <c r="D26" s="17" t="n">
        <v>0.15</v>
      </c>
      <c r="E26" s="17" t="n">
        <v>0.25</v>
      </c>
      <c r="F26" s="9" t="s">
        <v>85</v>
      </c>
    </row>
    <row r="27" customFormat="false" ht="15" hidden="false" customHeight="false" outlineLevel="0" collapsed="false">
      <c r="A27" s="11" t="s">
        <v>86</v>
      </c>
      <c r="B27" s="11" t="str">
        <f aca="false">IF(ABS(SUM(B23:B26)-1)&lt;0.0001,"OK","SAI")</f>
        <v>OK</v>
      </c>
      <c r="C27" s="11" t="str">
        <f aca="false">IF(ABS(SUM(C23:C26)-1)&lt;0.0001,"OK","SAI")</f>
        <v>OK</v>
      </c>
      <c r="D27" s="11" t="str">
        <f aca="false">IF(ABS(SUM(D23:D26)-1)&lt;0.0001,"OK","SAI")</f>
        <v>OK</v>
      </c>
      <c r="E27" s="11" t="str">
        <f aca="false">IF(ABS(SUM(E23:E26)-1)&lt;0.0001,"OK","SAI")</f>
        <v>OK</v>
      </c>
    </row>
    <row r="28" customFormat="false" ht="15" hidden="false" customHeight="false" outlineLevel="0" collapsed="false">
      <c r="A28" s="9" t="s">
        <v>87</v>
      </c>
      <c r="B28" s="13" t="n">
        <v>2</v>
      </c>
      <c r="C28" s="13" t="n">
        <v>2.5</v>
      </c>
      <c r="D28" s="13" t="n">
        <v>3</v>
      </c>
      <c r="E28" s="13" t="n">
        <v>2.5</v>
      </c>
      <c r="F28" s="9" t="s">
        <v>88</v>
      </c>
    </row>
    <row r="29" customFormat="false" ht="15" hidden="false" customHeight="false" outlineLevel="0" collapsed="false">
      <c r="A29" s="9" t="s">
        <v>89</v>
      </c>
      <c r="B29" s="17" t="n">
        <v>0.5</v>
      </c>
      <c r="C29" s="17" t="n">
        <v>0.1</v>
      </c>
      <c r="D29" s="17" t="n">
        <v>0</v>
      </c>
      <c r="E29" s="17" t="n">
        <v>0.1</v>
      </c>
      <c r="F29" s="9"/>
    </row>
    <row r="30" customFormat="false" ht="15" hidden="false" customHeight="false" outlineLevel="0" collapsed="false">
      <c r="A30" s="9" t="s">
        <v>90</v>
      </c>
      <c r="B30" s="17" t="n">
        <v>0.5</v>
      </c>
      <c r="C30" s="17" t="n">
        <v>0.85</v>
      </c>
      <c r="D30" s="17" t="n">
        <v>0.7</v>
      </c>
      <c r="E30" s="17" t="n">
        <v>0.85</v>
      </c>
      <c r="F30" s="9"/>
    </row>
    <row r="31" customFormat="false" ht="15" hidden="false" customHeight="false" outlineLevel="0" collapsed="false">
      <c r="A31" s="9" t="s">
        <v>91</v>
      </c>
      <c r="B31" s="17" t="n">
        <v>0</v>
      </c>
      <c r="C31" s="17" t="n">
        <v>0.05</v>
      </c>
      <c r="D31" s="17" t="n">
        <v>0.3</v>
      </c>
      <c r="E31" s="17" t="n">
        <v>0.05</v>
      </c>
      <c r="F31" s="9" t="s">
        <v>92</v>
      </c>
    </row>
    <row r="32" customFormat="false" ht="15" hidden="false" customHeight="false" outlineLevel="0" collapsed="false">
      <c r="A32" s="11" t="s">
        <v>93</v>
      </c>
      <c r="B32" s="11" t="str">
        <f aca="false">IF(ABS(SUM(B29:B31)-1)&lt;0.0001,"OK","SAI")</f>
        <v>OK</v>
      </c>
      <c r="C32" s="11" t="str">
        <f aca="false">IF(ABS(SUM(C29:C31)-1)&lt;0.0001,"OK","SAI")</f>
        <v>OK</v>
      </c>
      <c r="D32" s="11" t="str">
        <f aca="false">IF(ABS(SUM(D29:D31)-1)&lt;0.0001,"OK","SAI")</f>
        <v>OK</v>
      </c>
      <c r="E32" s="11" t="str">
        <f aca="false">IF(ABS(SUM(E29:E31)-1)&lt;0.0001,"OK","SAI")</f>
        <v>OK</v>
      </c>
    </row>
    <row r="34" customFormat="false" ht="15" hidden="false" customHeight="false" outlineLevel="0" collapsed="false">
      <c r="A34" s="15" t="s">
        <v>94</v>
      </c>
      <c r="B34" s="16"/>
      <c r="C34" s="16"/>
      <c r="D34" s="16"/>
      <c r="E34" s="16"/>
      <c r="F34" s="16"/>
    </row>
    <row r="35" customFormat="false" ht="26.85" hidden="false" customHeight="false" outlineLevel="0" collapsed="false">
      <c r="A35" s="8" t="s">
        <v>95</v>
      </c>
      <c r="B35" s="8" t="s">
        <v>96</v>
      </c>
      <c r="C35" s="8" t="s">
        <v>97</v>
      </c>
      <c r="D35" s="8" t="s">
        <v>98</v>
      </c>
      <c r="E35" s="8" t="s">
        <v>99</v>
      </c>
    </row>
    <row r="36" customFormat="false" ht="39.55" hidden="false" customHeight="false" outlineLevel="0" collapsed="false">
      <c r="A36" s="11" t="s">
        <v>100</v>
      </c>
      <c r="B36" s="12" t="n">
        <v>10</v>
      </c>
      <c r="C36" s="12" t="n">
        <v>5</v>
      </c>
      <c r="D36" s="18" t="n">
        <v>0.08</v>
      </c>
      <c r="E36" s="9" t="s">
        <v>101</v>
      </c>
    </row>
    <row r="37" customFormat="false" ht="39.55" hidden="false" customHeight="false" outlineLevel="0" collapsed="false">
      <c r="A37" s="11" t="s">
        <v>102</v>
      </c>
      <c r="B37" s="12" t="n">
        <v>20</v>
      </c>
      <c r="C37" s="12" t="n">
        <v>10</v>
      </c>
      <c r="D37" s="18" t="n">
        <v>0.12</v>
      </c>
      <c r="E37" s="9" t="s">
        <v>101</v>
      </c>
    </row>
    <row r="38" customFormat="false" ht="39.55" hidden="false" customHeight="false" outlineLevel="0" collapsed="false">
      <c r="A38" s="11" t="s">
        <v>103</v>
      </c>
      <c r="B38" s="12" t="n">
        <v>100</v>
      </c>
      <c r="C38" s="12" t="n">
        <v>100</v>
      </c>
      <c r="D38" s="18" t="n">
        <v>0.4</v>
      </c>
      <c r="E38" s="9" t="s">
        <v>101</v>
      </c>
    </row>
    <row r="40" customFormat="false" ht="15" hidden="false" customHeight="false" outlineLevel="0" collapsed="false">
      <c r="A40" s="15" t="s">
        <v>104</v>
      </c>
      <c r="B40" s="16"/>
      <c r="C40" s="16"/>
      <c r="D40" s="16"/>
      <c r="E40" s="16"/>
      <c r="F40" s="16"/>
    </row>
    <row r="41" customFormat="false" ht="15" hidden="false" customHeight="false" outlineLevel="0" collapsed="false">
      <c r="A41" s="8" t="s">
        <v>35</v>
      </c>
      <c r="B41" s="8" t="s">
        <v>36</v>
      </c>
      <c r="C41" s="8" t="s">
        <v>37</v>
      </c>
      <c r="D41" s="8" t="s">
        <v>38</v>
      </c>
    </row>
    <row r="42" customFormat="false" ht="26.85" hidden="false" customHeight="false" outlineLevel="0" collapsed="false">
      <c r="A42" s="11" t="s">
        <v>105</v>
      </c>
      <c r="B42" s="18" t="n">
        <v>0.134</v>
      </c>
      <c r="C42" s="11" t="s">
        <v>106</v>
      </c>
      <c r="D42" s="9" t="s">
        <v>107</v>
      </c>
    </row>
    <row r="43" customFormat="false" ht="39.55" hidden="false" customHeight="false" outlineLevel="0" collapsed="false">
      <c r="A43" s="11" t="s">
        <v>108</v>
      </c>
      <c r="B43" s="18" t="n">
        <v>0</v>
      </c>
      <c r="C43" s="11" t="s">
        <v>106</v>
      </c>
      <c r="D43" s="9" t="s">
        <v>109</v>
      </c>
    </row>
    <row r="44" customFormat="false" ht="26.85" hidden="false" customHeight="false" outlineLevel="0" collapsed="false">
      <c r="A44" s="11" t="s">
        <v>110</v>
      </c>
      <c r="B44" s="14" t="n">
        <f aca="false">99/600</f>
        <v>0.165</v>
      </c>
      <c r="C44" s="11" t="s">
        <v>111</v>
      </c>
      <c r="D44" s="9" t="s">
        <v>112</v>
      </c>
    </row>
    <row r="45" customFormat="false" ht="52.2" hidden="false" customHeight="false" outlineLevel="0" collapsed="false">
      <c r="A45" s="11" t="s">
        <v>113</v>
      </c>
      <c r="B45" s="18" t="n">
        <v>1</v>
      </c>
      <c r="C45" s="11" t="s">
        <v>114</v>
      </c>
      <c r="D45" s="9" t="s">
        <v>115</v>
      </c>
    </row>
    <row r="46" customFormat="false" ht="26.85" hidden="false" customHeight="false" outlineLevel="0" collapsed="false">
      <c r="A46" s="11" t="s">
        <v>116</v>
      </c>
      <c r="B46" s="19" t="n">
        <v>0.1</v>
      </c>
      <c r="C46" s="11" t="s">
        <v>117</v>
      </c>
      <c r="D46" s="9" t="s">
        <v>118</v>
      </c>
    </row>
    <row r="48" customFormat="false" ht="15" hidden="false" customHeight="false" outlineLevel="0" collapsed="false">
      <c r="A48" s="15" t="s">
        <v>119</v>
      </c>
      <c r="B48" s="16"/>
      <c r="C48" s="16"/>
      <c r="D48" s="16"/>
      <c r="E48" s="16"/>
      <c r="F48" s="16"/>
    </row>
    <row r="49" customFormat="false" ht="15" hidden="false" customHeight="false" outlineLevel="0" collapsed="false">
      <c r="A49" s="8" t="s">
        <v>35</v>
      </c>
      <c r="B49" s="8" t="s">
        <v>36</v>
      </c>
      <c r="C49" s="8" t="s">
        <v>37</v>
      </c>
      <c r="D49" s="8" t="s">
        <v>38</v>
      </c>
    </row>
    <row r="50" customFormat="false" ht="102.95" hidden="false" customHeight="false" outlineLevel="0" collapsed="false">
      <c r="A50" s="9" t="s">
        <v>120</v>
      </c>
      <c r="B50" s="10" t="n">
        <v>20</v>
      </c>
      <c r="C50" s="11" t="s">
        <v>65</v>
      </c>
      <c r="D50" s="9" t="s">
        <v>121</v>
      </c>
    </row>
    <row r="51" customFormat="false" ht="153.7" hidden="false" customHeight="false" outlineLevel="0" collapsed="false">
      <c r="A51" s="9" t="s">
        <v>122</v>
      </c>
      <c r="B51" s="10" t="n">
        <v>40</v>
      </c>
      <c r="C51" s="11" t="s">
        <v>65</v>
      </c>
      <c r="D51" s="9" t="s">
        <v>123</v>
      </c>
    </row>
    <row r="52" customFormat="false" ht="77.6" hidden="false" customHeight="false" outlineLevel="0" collapsed="false">
      <c r="A52" s="9" t="s">
        <v>124</v>
      </c>
      <c r="B52" s="19" t="n">
        <v>1</v>
      </c>
      <c r="C52" s="11" t="s">
        <v>117</v>
      </c>
      <c r="D52" s="9" t="s">
        <v>125</v>
      </c>
    </row>
    <row r="53" customFormat="false" ht="52.2" hidden="false" customHeight="false" outlineLevel="0" collapsed="false">
      <c r="A53" s="9" t="s">
        <v>126</v>
      </c>
      <c r="B53" s="20" t="n">
        <v>1.3</v>
      </c>
      <c r="C53" s="11" t="s">
        <v>48</v>
      </c>
      <c r="D53" s="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11" min="9" style="0" width="1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26.85" hidden="false" customHeight="false" outlineLevel="0" collapsed="false">
      <c r="A4" s="8" t="s">
        <v>130</v>
      </c>
      <c r="B4" s="8" t="s">
        <v>131</v>
      </c>
      <c r="C4" s="8" t="s">
        <v>132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77</v>
      </c>
      <c r="I4" s="8" t="s">
        <v>137</v>
      </c>
      <c r="J4" s="8" t="s">
        <v>138</v>
      </c>
      <c r="K4" s="8" t="s">
        <v>139</v>
      </c>
    </row>
    <row r="5" customFormat="false" ht="26.85" hidden="false" customHeight="false" outlineLevel="0" collapsed="false">
      <c r="A5" s="11" t="n">
        <v>1</v>
      </c>
      <c r="B5" s="11" t="s">
        <v>140</v>
      </c>
      <c r="C5" s="9" t="s">
        <v>141</v>
      </c>
      <c r="D5" s="11" t="s">
        <v>142</v>
      </c>
      <c r="E5" s="18" t="n">
        <v>20</v>
      </c>
      <c r="F5" s="11"/>
      <c r="G5" s="12"/>
      <c r="H5" s="9"/>
      <c r="I5" s="12" t="n">
        <v>1</v>
      </c>
      <c r="J5" s="12" t="n">
        <v>0</v>
      </c>
      <c r="K5" s="12" t="n">
        <v>0</v>
      </c>
    </row>
    <row r="6" customFormat="false" ht="15" hidden="false" customHeight="false" outlineLevel="0" collapsed="false">
      <c r="A6" s="11" t="n">
        <v>2</v>
      </c>
      <c r="B6" s="11" t="s">
        <v>140</v>
      </c>
      <c r="C6" s="9" t="s">
        <v>143</v>
      </c>
      <c r="D6" s="11" t="s">
        <v>144</v>
      </c>
      <c r="E6" s="18" t="n">
        <v>100</v>
      </c>
      <c r="F6" s="11"/>
      <c r="G6" s="12"/>
      <c r="H6" s="9"/>
      <c r="I6" s="12" t="n">
        <v>0</v>
      </c>
      <c r="J6" s="12" t="n">
        <v>1</v>
      </c>
      <c r="K6" s="12" t="n">
        <v>0</v>
      </c>
    </row>
    <row r="7" customFormat="false" ht="15" hidden="false" customHeight="false" outlineLevel="0" collapsed="false">
      <c r="A7" s="11" t="n">
        <v>3</v>
      </c>
      <c r="B7" s="11" t="s">
        <v>140</v>
      </c>
      <c r="C7" s="9" t="s">
        <v>145</v>
      </c>
      <c r="D7" s="11" t="s">
        <v>146</v>
      </c>
      <c r="E7" s="18" t="n">
        <v>200</v>
      </c>
      <c r="F7" s="11"/>
      <c r="G7" s="12"/>
      <c r="H7" s="9"/>
      <c r="I7" s="12" t="n">
        <v>0</v>
      </c>
      <c r="J7" s="12" t="n">
        <v>0</v>
      </c>
      <c r="K7" s="12" t="n">
        <v>1</v>
      </c>
    </row>
    <row r="8" customFormat="false" ht="15" hidden="false" customHeight="false" outlineLevel="0" collapsed="false">
      <c r="A8" s="11" t="n">
        <v>4</v>
      </c>
      <c r="B8" s="11" t="s">
        <v>147</v>
      </c>
      <c r="C8" s="9" t="s">
        <v>148</v>
      </c>
      <c r="D8" s="11" t="s">
        <v>149</v>
      </c>
      <c r="E8" s="18" t="n">
        <v>10</v>
      </c>
      <c r="F8" s="11"/>
      <c r="G8" s="12"/>
      <c r="H8" s="9" t="s">
        <v>150</v>
      </c>
      <c r="I8" s="12" t="n">
        <v>0</v>
      </c>
      <c r="J8" s="12" t="n">
        <v>1</v>
      </c>
      <c r="K8" s="12" t="n">
        <v>3</v>
      </c>
    </row>
    <row r="9" customFormat="false" ht="15" hidden="false" customHeight="false" outlineLevel="0" collapsed="false">
      <c r="A9" s="11" t="n">
        <v>5</v>
      </c>
      <c r="B9" s="11" t="s">
        <v>151</v>
      </c>
      <c r="C9" s="9" t="s">
        <v>152</v>
      </c>
      <c r="D9" s="11" t="s">
        <v>153</v>
      </c>
      <c r="E9" s="18" t="n">
        <v>19.99</v>
      </c>
      <c r="F9" s="11" t="s">
        <v>154</v>
      </c>
      <c r="G9" s="12" t="n">
        <v>2500</v>
      </c>
      <c r="H9" s="9" t="s">
        <v>155</v>
      </c>
      <c r="I9" s="12" t="n">
        <v>1</v>
      </c>
      <c r="J9" s="12" t="n">
        <v>0</v>
      </c>
      <c r="K9" s="12" t="n">
        <v>0</v>
      </c>
    </row>
    <row r="10" customFormat="false" ht="26.85" hidden="false" customHeight="false" outlineLevel="0" collapsed="false">
      <c r="A10" s="11" t="n">
        <v>6</v>
      </c>
      <c r="B10" s="11" t="s">
        <v>151</v>
      </c>
      <c r="C10" s="9" t="s">
        <v>156</v>
      </c>
      <c r="D10" s="11" t="s">
        <v>157</v>
      </c>
      <c r="E10" s="18" t="n">
        <v>199.99</v>
      </c>
      <c r="F10" s="11" t="s">
        <v>154</v>
      </c>
      <c r="G10" s="12" t="n">
        <v>26500</v>
      </c>
      <c r="H10" s="9" t="s">
        <v>158</v>
      </c>
      <c r="I10" s="12" t="n">
        <v>0</v>
      </c>
      <c r="J10" s="12" t="n">
        <v>1</v>
      </c>
      <c r="K10" s="12" t="n">
        <v>2</v>
      </c>
    </row>
    <row r="11" customFormat="false" ht="15" hidden="false" customHeight="false" outlineLevel="0" collapsed="false">
      <c r="A11" s="11" t="n">
        <v>7</v>
      </c>
      <c r="B11" s="11" t="s">
        <v>159</v>
      </c>
      <c r="C11" s="9" t="s">
        <v>160</v>
      </c>
      <c r="D11" s="11" t="s">
        <v>161</v>
      </c>
      <c r="E11" s="18" t="n">
        <v>29</v>
      </c>
      <c r="F11" s="11" t="s">
        <v>159</v>
      </c>
      <c r="G11" s="12" t="n">
        <v>600</v>
      </c>
      <c r="H11" s="9" t="s">
        <v>162</v>
      </c>
      <c r="I11" s="12" t="n">
        <v>1</v>
      </c>
      <c r="J11" s="12" t="n">
        <v>0</v>
      </c>
      <c r="K11" s="12" t="n">
        <v>0</v>
      </c>
    </row>
    <row r="12" customFormat="false" ht="15" hidden="false" customHeight="false" outlineLevel="0" collapsed="false">
      <c r="A12" s="11" t="n">
        <v>8</v>
      </c>
      <c r="B12" s="11" t="s">
        <v>159</v>
      </c>
      <c r="C12" s="9" t="s">
        <v>163</v>
      </c>
      <c r="D12" s="11" t="s">
        <v>164</v>
      </c>
      <c r="E12" s="18" t="n">
        <v>74</v>
      </c>
      <c r="F12" s="11" t="s">
        <v>159</v>
      </c>
      <c r="G12" s="12" t="n">
        <v>1500</v>
      </c>
      <c r="H12" s="9" t="s">
        <v>165</v>
      </c>
      <c r="I12" s="12" t="n">
        <v>0</v>
      </c>
      <c r="J12" s="12" t="n">
        <v>1</v>
      </c>
      <c r="K12" s="12" t="n">
        <v>0</v>
      </c>
    </row>
    <row r="13" customFormat="false" ht="15" hidden="false" customHeight="false" outlineLevel="0" collapsed="false">
      <c r="A13" s="11" t="n">
        <v>9</v>
      </c>
      <c r="B13" s="11" t="s">
        <v>159</v>
      </c>
      <c r="C13" s="9" t="s">
        <v>163</v>
      </c>
      <c r="D13" s="11" t="s">
        <v>166</v>
      </c>
      <c r="E13" s="18" t="n">
        <v>147</v>
      </c>
      <c r="F13" s="11" t="s">
        <v>159</v>
      </c>
      <c r="G13" s="12" t="n">
        <v>3000</v>
      </c>
      <c r="H13" s="9" t="s">
        <v>165</v>
      </c>
      <c r="I13" s="12" t="n">
        <v>0</v>
      </c>
      <c r="J13" s="12" t="n">
        <v>0</v>
      </c>
      <c r="K13" s="12" t="n">
        <v>1</v>
      </c>
    </row>
    <row r="14" customFormat="false" ht="26.85" hidden="false" customHeight="false" outlineLevel="0" collapsed="false">
      <c r="A14" s="11" t="n">
        <v>10</v>
      </c>
      <c r="B14" s="11" t="s">
        <v>167</v>
      </c>
      <c r="C14" s="9" t="s">
        <v>168</v>
      </c>
      <c r="D14" s="11" t="s">
        <v>161</v>
      </c>
      <c r="E14" s="18" t="n">
        <v>22</v>
      </c>
      <c r="F14" s="11" t="s">
        <v>167</v>
      </c>
      <c r="G14" s="12" t="n">
        <v>121000</v>
      </c>
      <c r="H14" s="9" t="s">
        <v>169</v>
      </c>
      <c r="I14" s="12" t="n">
        <v>1</v>
      </c>
      <c r="J14" s="12" t="n">
        <v>0</v>
      </c>
      <c r="K14" s="12" t="n">
        <v>0</v>
      </c>
    </row>
    <row r="15" customFormat="false" ht="15" hidden="false" customHeight="false" outlineLevel="0" collapsed="false">
      <c r="A15" s="11" t="n">
        <v>11</v>
      </c>
      <c r="B15" s="11" t="s">
        <v>167</v>
      </c>
      <c r="C15" s="9" t="s">
        <v>163</v>
      </c>
      <c r="D15" s="11" t="s">
        <v>142</v>
      </c>
      <c r="E15" s="18" t="n">
        <v>99</v>
      </c>
      <c r="F15" s="11" t="s">
        <v>167</v>
      </c>
      <c r="G15" s="12" t="n">
        <v>600000</v>
      </c>
      <c r="H15" s="9"/>
      <c r="I15" s="12" t="n">
        <v>0</v>
      </c>
      <c r="J15" s="12" t="n">
        <v>1</v>
      </c>
      <c r="K15" s="12" t="n">
        <v>2</v>
      </c>
    </row>
    <row r="16" customFormat="false" ht="15" hidden="false" customHeight="false" outlineLevel="0" collapsed="false">
      <c r="A16" s="11" t="n">
        <v>12</v>
      </c>
      <c r="B16" s="11" t="s">
        <v>170</v>
      </c>
      <c r="C16" s="9" t="s">
        <v>171</v>
      </c>
      <c r="D16" s="11" t="s">
        <v>172</v>
      </c>
      <c r="E16" s="18" t="n">
        <v>10</v>
      </c>
      <c r="F16" s="11"/>
      <c r="G16" s="12"/>
      <c r="H16" s="9" t="s">
        <v>173</v>
      </c>
      <c r="I16" s="12" t="n">
        <v>0</v>
      </c>
      <c r="J16" s="12" t="n">
        <v>1</v>
      </c>
      <c r="K16" s="12" t="n">
        <v>0</v>
      </c>
    </row>
    <row r="17" customFormat="false" ht="15" hidden="false" customHeight="false" outlineLevel="0" collapsed="false">
      <c r="A17" s="11" t="n">
        <v>13</v>
      </c>
      <c r="B17" s="11" t="s">
        <v>170</v>
      </c>
      <c r="C17" s="9" t="s">
        <v>163</v>
      </c>
      <c r="D17" s="11" t="s">
        <v>142</v>
      </c>
      <c r="E17" s="18" t="n">
        <v>37</v>
      </c>
      <c r="F17" s="11"/>
      <c r="G17" s="12"/>
      <c r="H17" s="9"/>
      <c r="I17" s="12" t="n">
        <v>0</v>
      </c>
      <c r="J17" s="12" t="n">
        <v>0</v>
      </c>
      <c r="K17" s="12" t="n">
        <v>1</v>
      </c>
    </row>
    <row r="18" customFormat="false" ht="15" hidden="false" customHeight="false" outlineLevel="0" collapsed="false">
      <c r="A18" s="11" t="n">
        <v>14</v>
      </c>
      <c r="B18" s="11" t="s">
        <v>174</v>
      </c>
      <c r="C18" s="9" t="s">
        <v>175</v>
      </c>
      <c r="D18" s="11" t="s">
        <v>142</v>
      </c>
      <c r="E18" s="18" t="n">
        <v>10</v>
      </c>
      <c r="F18" s="11"/>
      <c r="G18" s="12"/>
      <c r="H18" s="9" t="s">
        <v>176</v>
      </c>
      <c r="I18" s="12" t="n">
        <v>1</v>
      </c>
      <c r="J18" s="12" t="n">
        <v>1</v>
      </c>
      <c r="K18" s="12" t="n">
        <v>2</v>
      </c>
    </row>
    <row r="19" customFormat="false" ht="15" hidden="false" customHeight="false" outlineLevel="0" collapsed="false">
      <c r="A19" s="11" t="n">
        <v>15</v>
      </c>
      <c r="B19" s="11" t="s">
        <v>177</v>
      </c>
      <c r="C19" s="9" t="s">
        <v>178</v>
      </c>
      <c r="D19" s="11" t="s">
        <v>142</v>
      </c>
      <c r="E19" s="18" t="n">
        <v>10</v>
      </c>
      <c r="F19" s="11"/>
      <c r="G19" s="12"/>
      <c r="H19" s="9" t="s">
        <v>179</v>
      </c>
      <c r="I19" s="12" t="n">
        <v>0</v>
      </c>
      <c r="J19" s="12" t="n">
        <v>1</v>
      </c>
      <c r="K19" s="12" t="n">
        <v>0</v>
      </c>
    </row>
    <row r="20" customFormat="false" ht="15" hidden="false" customHeight="false" outlineLevel="0" collapsed="false">
      <c r="A20" s="11" t="n">
        <v>16</v>
      </c>
      <c r="B20" s="11" t="s">
        <v>177</v>
      </c>
      <c r="C20" s="9" t="s">
        <v>163</v>
      </c>
      <c r="D20" s="11" t="s">
        <v>180</v>
      </c>
      <c r="E20" s="18" t="n">
        <v>30</v>
      </c>
      <c r="F20" s="11"/>
      <c r="G20" s="12"/>
      <c r="H20" s="9"/>
      <c r="I20" s="12" t="n">
        <v>0</v>
      </c>
      <c r="J20" s="12" t="n">
        <v>0</v>
      </c>
      <c r="K20" s="12" t="n">
        <v>1</v>
      </c>
    </row>
    <row r="21" customFormat="false" ht="26.85" hidden="false" customHeight="false" outlineLevel="0" collapsed="false">
      <c r="A21" s="11" t="n">
        <v>17</v>
      </c>
      <c r="B21" s="11" t="s">
        <v>181</v>
      </c>
      <c r="C21" s="9" t="s">
        <v>182</v>
      </c>
      <c r="D21" s="11" t="s">
        <v>142</v>
      </c>
      <c r="E21" s="18" t="n">
        <v>29</v>
      </c>
      <c r="F21" s="11"/>
      <c r="G21" s="12"/>
      <c r="H21" s="9" t="s">
        <v>183</v>
      </c>
      <c r="I21" s="12" t="n">
        <v>0</v>
      </c>
      <c r="J21" s="12" t="n">
        <v>1</v>
      </c>
      <c r="K21" s="12" t="n">
        <v>2</v>
      </c>
    </row>
    <row r="22" customFormat="false" ht="26.85" hidden="false" customHeight="false" outlineLevel="0" collapsed="false">
      <c r="A22" s="11" t="n">
        <v>18</v>
      </c>
      <c r="B22" s="11" t="s">
        <v>184</v>
      </c>
      <c r="C22" s="9" t="s">
        <v>185</v>
      </c>
      <c r="D22" s="11" t="s">
        <v>186</v>
      </c>
      <c r="E22" s="18" t="n">
        <v>50</v>
      </c>
      <c r="F22" s="11"/>
      <c r="G22" s="12"/>
      <c r="H22" s="9" t="s">
        <v>187</v>
      </c>
      <c r="I22" s="12" t="n">
        <v>1</v>
      </c>
      <c r="J22" s="12" t="n">
        <v>3</v>
      </c>
      <c r="K22" s="12" t="n">
        <v>6</v>
      </c>
    </row>
    <row r="23" customFormat="false" ht="15" hidden="false" customHeight="false" outlineLevel="0" collapsed="false">
      <c r="A23" s="11" t="n">
        <v>19</v>
      </c>
      <c r="B23" s="11" t="s">
        <v>188</v>
      </c>
      <c r="C23" s="9" t="s">
        <v>189</v>
      </c>
      <c r="D23" s="11" t="s">
        <v>190</v>
      </c>
      <c r="E23" s="18" t="n">
        <v>0</v>
      </c>
      <c r="F23" s="11"/>
      <c r="G23" s="12"/>
      <c r="H23" s="9"/>
      <c r="I23" s="12" t="n">
        <v>1</v>
      </c>
      <c r="J23" s="12" t="n">
        <v>1</v>
      </c>
      <c r="K23" s="12" t="n">
        <v>1</v>
      </c>
    </row>
    <row r="25" customFormat="false" ht="15" hidden="false" customHeight="false" outlineLevel="0" collapsed="false">
      <c r="H25" s="21" t="s">
        <v>191</v>
      </c>
      <c r="I25" s="22" t="n">
        <f aca="false">SUMPRODUCT($E$5:$E$23,I5:I23)</f>
        <v>150.99</v>
      </c>
      <c r="J25" s="22" t="n">
        <f aca="false">SUMPRODUCT($E$5:$E$23,J5:J23)</f>
        <v>691.99</v>
      </c>
      <c r="K25" s="22" t="n">
        <f aca="false">SUMPRODUCT($E$5:$E$23,K5:K23)</f>
        <v>1419.98</v>
      </c>
    </row>
    <row r="26" customFormat="false" ht="15" hidden="false" customHeight="false" outlineLevel="0" collapsed="false">
      <c r="H26" s="21" t="s">
        <v>192</v>
      </c>
      <c r="I26" s="23" t="n">
        <f aca="false">I25*ThongSo!$B$46</f>
        <v>15.099</v>
      </c>
      <c r="J26" s="23" t="n">
        <f aca="false">J25*ThongSo!$B$46</f>
        <v>69.199</v>
      </c>
      <c r="K26" s="23" t="n">
        <f aca="false">K25*ThongSo!$B$46</f>
        <v>141.998</v>
      </c>
    </row>
    <row r="27" customFormat="false" ht="15" hidden="false" customHeight="false" outlineLevel="0" collapsed="false">
      <c r="H27" s="21" t="s">
        <v>193</v>
      </c>
      <c r="I27" s="24" t="n">
        <f aca="false">I25+I26</f>
        <v>166.089</v>
      </c>
      <c r="J27" s="24" t="n">
        <f aca="false">J25+J26</f>
        <v>761.189</v>
      </c>
      <c r="K27" s="24" t="n">
        <f aca="false">K25+K26</f>
        <v>1561.978</v>
      </c>
    </row>
    <row r="28" customFormat="false" ht="15" hidden="false" customHeight="false" outlineLevel="0" collapsed="false">
      <c r="H28" s="21" t="s">
        <v>194</v>
      </c>
      <c r="I28" s="25" t="n">
        <f aca="false">I27*ThongSo!$B$5</f>
        <v>4401358.5</v>
      </c>
      <c r="J28" s="25" t="n">
        <f aca="false">J27*ThongSo!$B$5</f>
        <v>20171508.5</v>
      </c>
      <c r="K28" s="25" t="n">
        <f aca="false">K27*ThongSo!$B$5</f>
        <v>41392417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7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8" t="s">
        <v>197</v>
      </c>
      <c r="B4" s="8" t="s">
        <v>73</v>
      </c>
      <c r="C4" s="8" t="s">
        <v>74</v>
      </c>
      <c r="D4" s="8" t="s">
        <v>75</v>
      </c>
      <c r="E4" s="8" t="s">
        <v>198</v>
      </c>
      <c r="F4" s="8" t="s">
        <v>199</v>
      </c>
    </row>
    <row r="5" customFormat="false" ht="15" hidden="false" customHeight="false" outlineLevel="0" collapsed="false">
      <c r="A5" s="15" t="s">
        <v>200</v>
      </c>
      <c r="B5" s="16"/>
      <c r="C5" s="16"/>
      <c r="D5" s="16"/>
      <c r="E5" s="16"/>
      <c r="F5" s="16"/>
    </row>
    <row r="6" customFormat="false" ht="15" hidden="false" customHeight="false" outlineLevel="0" collapsed="false">
      <c r="A6" s="9" t="s">
        <v>201</v>
      </c>
      <c r="B6" s="26" t="n">
        <f aca="false">ThongSo!$B$6*ThongSo!B23</f>
        <v>162</v>
      </c>
      <c r="C6" s="26" t="n">
        <f aca="false">ThongSo!$B$6*ThongSo!C23</f>
        <v>216</v>
      </c>
      <c r="D6" s="26" t="n">
        <f aca="false">ThongSo!$B$6*ThongSo!D23</f>
        <v>270</v>
      </c>
      <c r="E6" s="26" t="n">
        <f aca="false">ThongSo!$B$6*ThongSo!E23</f>
        <v>0</v>
      </c>
      <c r="F6" s="9" t="s">
        <v>202</v>
      </c>
    </row>
    <row r="7" customFormat="false" ht="15" hidden="false" customHeight="false" outlineLevel="0" collapsed="false">
      <c r="A7" s="9" t="s">
        <v>203</v>
      </c>
      <c r="B7" s="27" t="n">
        <f aca="false">B6/60*ThongSo!$B$19</f>
        <v>3.51</v>
      </c>
      <c r="C7" s="27" t="n">
        <f aca="false">C6/60*ThongSo!$B$19</f>
        <v>4.68</v>
      </c>
      <c r="D7" s="27" t="n">
        <f aca="false">D6/60*ThongSo!$B$19</f>
        <v>5.85</v>
      </c>
      <c r="E7" s="27" t="n">
        <f aca="false">E6/60*ThongSo!$B$19</f>
        <v>0</v>
      </c>
      <c r="F7" s="9"/>
    </row>
    <row r="8" customFormat="false" ht="15" hidden="false" customHeight="false" outlineLevel="0" collapsed="false">
      <c r="A8" s="9" t="s">
        <v>204</v>
      </c>
      <c r="B8" s="28" t="n">
        <f aca="false">B7*ThongSo!$B$17</f>
        <v>70.2</v>
      </c>
      <c r="C8" s="28" t="n">
        <f aca="false">C7*ThongSo!$B$17</f>
        <v>93.6</v>
      </c>
      <c r="D8" s="28" t="n">
        <f aca="false">D7*ThongSo!$B$17</f>
        <v>117</v>
      </c>
      <c r="E8" s="28" t="n">
        <f aca="false">E7*ThongSo!$B$17</f>
        <v>0</v>
      </c>
      <c r="F8" s="9"/>
    </row>
    <row r="9" customFormat="false" ht="15" hidden="false" customHeight="false" outlineLevel="0" collapsed="false">
      <c r="A9" s="9" t="s">
        <v>205</v>
      </c>
      <c r="B9" s="26" t="n">
        <f aca="false">ThongSo!$B$6*ThongSo!B24</f>
        <v>162</v>
      </c>
      <c r="C9" s="26" t="n">
        <f aca="false">ThongSo!$B$6*ThongSo!C24</f>
        <v>216</v>
      </c>
      <c r="D9" s="26" t="n">
        <f aca="false">ThongSo!$B$6*ThongSo!D24</f>
        <v>324</v>
      </c>
      <c r="E9" s="26" t="n">
        <f aca="false">ThongSo!$B$6*ThongSo!E24</f>
        <v>216</v>
      </c>
      <c r="F9" s="9"/>
    </row>
    <row r="10" customFormat="false" ht="15" hidden="false" customHeight="false" outlineLevel="0" collapsed="false">
      <c r="A10" s="9" t="s">
        <v>206</v>
      </c>
      <c r="B10" s="28" t="n">
        <f aca="false">B9/ThongSo!$B$7</f>
        <v>20.25</v>
      </c>
      <c r="C10" s="28" t="n">
        <f aca="false">C9/ThongSo!$B$7</f>
        <v>27</v>
      </c>
      <c r="D10" s="28" t="n">
        <f aca="false">D9/ThongSo!$B$7</f>
        <v>40.5</v>
      </c>
      <c r="E10" s="28" t="n">
        <f aca="false">E9/ThongSo!$B$7</f>
        <v>27</v>
      </c>
      <c r="F10" s="9"/>
    </row>
    <row r="11" customFormat="false" ht="15" hidden="false" customHeight="false" outlineLevel="0" collapsed="false">
      <c r="A11" s="9" t="s">
        <v>207</v>
      </c>
      <c r="B11" s="28" t="n">
        <f aca="false">B10*ThongSo!B28</f>
        <v>40.5</v>
      </c>
      <c r="C11" s="28" t="n">
        <f aca="false">C10*ThongSo!C28</f>
        <v>67.5</v>
      </c>
      <c r="D11" s="28" t="n">
        <f aca="false">D10*ThongSo!D28</f>
        <v>121.5</v>
      </c>
      <c r="E11" s="28" t="n">
        <f aca="false">E10*ThongSo!E28</f>
        <v>67.5</v>
      </c>
      <c r="F11" s="9"/>
    </row>
    <row r="12" customFormat="false" ht="15" hidden="false" customHeight="false" outlineLevel="0" collapsed="false">
      <c r="A12" s="9" t="s">
        <v>208</v>
      </c>
      <c r="B12" s="27" t="n">
        <f aca="false">ThongSo!B29*ThongSo!$C$36+ThongSo!B30*ThongSo!$C$37+ThongSo!B31*ThongSo!$C$38</f>
        <v>7.5</v>
      </c>
      <c r="C12" s="27" t="n">
        <f aca="false">ThongSo!C29*ThongSo!$C$36+ThongSo!C30*ThongSo!$C$37+ThongSo!C31*ThongSo!$C$38</f>
        <v>14</v>
      </c>
      <c r="D12" s="27" t="n">
        <f aca="false">ThongSo!D29*ThongSo!$C$36+ThongSo!D30*ThongSo!$C$37+ThongSo!D31*ThongSo!$C$38</f>
        <v>37</v>
      </c>
      <c r="E12" s="27" t="n">
        <f aca="false">ThongSo!E29*ThongSo!$C$36+ThongSo!E30*ThongSo!$C$37+ThongSo!E31*ThongSo!$C$38</f>
        <v>14</v>
      </c>
      <c r="F12" s="9"/>
    </row>
    <row r="13" customFormat="false" ht="15" hidden="false" customHeight="false" outlineLevel="0" collapsed="false">
      <c r="A13" s="9" t="s">
        <v>209</v>
      </c>
      <c r="B13" s="27" t="n">
        <f aca="false">ThongSo!B29*ThongSo!$B$36+ThongSo!B30*ThongSo!$B$37+ThongSo!B31*ThongSo!$B$38</f>
        <v>15</v>
      </c>
      <c r="C13" s="27" t="n">
        <f aca="false">ThongSo!C29*ThongSo!$B$36+ThongSo!C30*ThongSo!$B$37+ThongSo!C31*ThongSo!$B$38</f>
        <v>23</v>
      </c>
      <c r="D13" s="27" t="n">
        <f aca="false">ThongSo!D29*ThongSo!$B$36+ThongSo!D30*ThongSo!$B$37+ThongSo!D31*ThongSo!$B$38</f>
        <v>44</v>
      </c>
      <c r="E13" s="27" t="n">
        <f aca="false">ThongSo!E29*ThongSo!$B$36+ThongSo!E30*ThongSo!$B$37+ThongSo!E31*ThongSo!$B$38</f>
        <v>23</v>
      </c>
      <c r="F13" s="9"/>
    </row>
    <row r="14" customFormat="false" ht="15" hidden="false" customHeight="false" outlineLevel="0" collapsed="false">
      <c r="A14" s="9" t="s">
        <v>210</v>
      </c>
      <c r="B14" s="29" t="n">
        <f aca="false">B11*B12</f>
        <v>303.75</v>
      </c>
      <c r="C14" s="29" t="n">
        <f aca="false">C11*C12</f>
        <v>945</v>
      </c>
      <c r="D14" s="29" t="n">
        <f aca="false">D11*D12</f>
        <v>4495.5</v>
      </c>
      <c r="E14" s="29" t="n">
        <f aca="false">E11*E12</f>
        <v>945</v>
      </c>
      <c r="F14" s="9"/>
    </row>
    <row r="15" customFormat="false" ht="15" hidden="false" customHeight="false" outlineLevel="0" collapsed="false">
      <c r="A15" s="9" t="s">
        <v>211</v>
      </c>
      <c r="B15" s="29" t="n">
        <f aca="false">B11*B13</f>
        <v>607.5</v>
      </c>
      <c r="C15" s="29" t="n">
        <f aca="false">C11*C13</f>
        <v>1552.5</v>
      </c>
      <c r="D15" s="29" t="n">
        <f aca="false">D11*D13</f>
        <v>5346</v>
      </c>
      <c r="E15" s="29" t="n">
        <f aca="false">E11*E13</f>
        <v>1552.5</v>
      </c>
      <c r="F15" s="9"/>
    </row>
    <row r="16" customFormat="false" ht="15" hidden="false" customHeight="false" outlineLevel="0" collapsed="false">
      <c r="A16" s="9" t="s">
        <v>212</v>
      </c>
      <c r="B16" s="26" t="n">
        <f aca="false">ThongSo!$B$6*ThongSo!B25</f>
        <v>540</v>
      </c>
      <c r="C16" s="26" t="n">
        <f aca="false">ThongSo!$B$6*ThongSo!C25</f>
        <v>432</v>
      </c>
      <c r="D16" s="26" t="n">
        <f aca="false">ThongSo!$B$6*ThongSo!D25</f>
        <v>324</v>
      </c>
      <c r="E16" s="26" t="n">
        <f aca="false">ThongSo!$B$6*ThongSo!E25</f>
        <v>594</v>
      </c>
      <c r="F16" s="9" t="s">
        <v>213</v>
      </c>
    </row>
    <row r="17" customFormat="false" ht="15" hidden="false" customHeight="false" outlineLevel="0" collapsed="false">
      <c r="A17" s="9" t="s">
        <v>214</v>
      </c>
      <c r="B17" s="26" t="n">
        <f aca="false">(B10+ThongSo!$B$9)*ThongSo!$B$8</f>
        <v>46.5</v>
      </c>
      <c r="C17" s="26" t="n">
        <f aca="false">(C10+ThongSo!$B$9)*ThongSo!$B$8</f>
        <v>60</v>
      </c>
      <c r="D17" s="26" t="n">
        <f aca="false">(D10+ThongSo!$B$9)*ThongSo!$B$8</f>
        <v>87</v>
      </c>
      <c r="E17" s="26" t="n">
        <f aca="false">(E10+ThongSo!$B$9)*ThongSo!$B$8</f>
        <v>60</v>
      </c>
      <c r="F17" s="9" t="s">
        <v>215</v>
      </c>
    </row>
    <row r="18" customFormat="false" ht="15" hidden="false" customHeight="false" outlineLevel="0" collapsed="false">
      <c r="A18" s="9" t="s">
        <v>216</v>
      </c>
      <c r="B18" s="26" t="n">
        <f aca="false">ThongSo!$B$6/60*ThongSo!$B$13*ThongSo!$B$14</f>
        <v>21060</v>
      </c>
      <c r="C18" s="26" t="n">
        <f aca="false">ThongSo!$B$6/60*ThongSo!$B$13*ThongSo!$B$14</f>
        <v>21060</v>
      </c>
      <c r="D18" s="26" t="n">
        <f aca="false">ThongSo!$B$6/60*ThongSo!$B$13*ThongSo!$B$14</f>
        <v>21060</v>
      </c>
      <c r="E18" s="26" t="n">
        <f aca="false">ThongSo!$B$6/60*ThongSo!$B$13*ThongSo!$B$14</f>
        <v>21060</v>
      </c>
      <c r="F18" s="9"/>
    </row>
    <row r="20" customFormat="false" ht="15" hidden="false" customHeight="false" outlineLevel="0" collapsed="false">
      <c r="A20" s="15" t="s">
        <v>217</v>
      </c>
      <c r="B20" s="16"/>
      <c r="C20" s="16"/>
      <c r="D20" s="16"/>
      <c r="E20" s="16"/>
      <c r="F20" s="16"/>
    </row>
    <row r="21" customFormat="false" ht="15" hidden="false" customHeight="false" outlineLevel="0" collapsed="false">
      <c r="A21" s="9" t="s">
        <v>218</v>
      </c>
      <c r="B21" s="23" t="n">
        <f aca="false">B14*CongCu!$E$10/CongCu!$G$10</f>
        <v>2.29233820754717</v>
      </c>
      <c r="C21" s="23" t="n">
        <f aca="false">C14*CongCu!$E$10/CongCu!$G$10</f>
        <v>7.13171886792453</v>
      </c>
      <c r="D21" s="23" t="n">
        <f aca="false">D14*CongCu!$E$10/CongCu!$G$10</f>
        <v>33.9266054716981</v>
      </c>
      <c r="E21" s="23" t="n">
        <f aca="false">E14*CongCu!$E$10/CongCu!$G$10</f>
        <v>7.13171886792453</v>
      </c>
      <c r="F21" s="9" t="s">
        <v>219</v>
      </c>
    </row>
    <row r="22" customFormat="false" ht="15" hidden="false" customHeight="false" outlineLevel="0" collapsed="false">
      <c r="A22" s="9" t="s">
        <v>220</v>
      </c>
      <c r="B22" s="23" t="n">
        <f aca="false">B8*ThongSo!$B$18</f>
        <v>3.4398</v>
      </c>
      <c r="C22" s="23" t="n">
        <f aca="false">C8*ThongSo!$B$18</f>
        <v>4.5864</v>
      </c>
      <c r="D22" s="23" t="n">
        <f aca="false">D8*ThongSo!$B$18</f>
        <v>5.733</v>
      </c>
      <c r="E22" s="23" t="n">
        <f aca="false">E8*ThongSo!$B$18</f>
        <v>0</v>
      </c>
      <c r="F22" s="9"/>
    </row>
    <row r="23" customFormat="false" ht="15" hidden="false" customHeight="false" outlineLevel="0" collapsed="false">
      <c r="A23" s="9" t="s">
        <v>221</v>
      </c>
      <c r="B23" s="23" t="n">
        <f aca="false">B17*ThongSo!$B$43</f>
        <v>0</v>
      </c>
      <c r="C23" s="23" t="n">
        <f aca="false">C17*ThongSo!$B$43</f>
        <v>0</v>
      </c>
      <c r="D23" s="23" t="n">
        <f aca="false">D17*ThongSo!$B$43</f>
        <v>0</v>
      </c>
      <c r="E23" s="23" t="n">
        <f aca="false">E17*ThongSo!$B$43</f>
        <v>0</v>
      </c>
      <c r="F23" s="9" t="s">
        <v>222</v>
      </c>
    </row>
    <row r="24" customFormat="false" ht="15" hidden="false" customHeight="false" outlineLevel="0" collapsed="false">
      <c r="A24" s="9" t="s">
        <v>223</v>
      </c>
      <c r="B24" s="23" t="n">
        <f aca="false">B18/1000*ThongSo!$B$44</f>
        <v>3.4749</v>
      </c>
      <c r="C24" s="23" t="n">
        <f aca="false">C18/1000*ThongSo!$B$44</f>
        <v>3.4749</v>
      </c>
      <c r="D24" s="23" t="n">
        <f aca="false">D18/1000*ThongSo!$B$44</f>
        <v>3.4749</v>
      </c>
      <c r="E24" s="23" t="n">
        <f aca="false">E18/1000*ThongSo!$B$44</f>
        <v>3.4749</v>
      </c>
      <c r="F24" s="9"/>
    </row>
    <row r="25" customFormat="false" ht="15" hidden="false" customHeight="false" outlineLevel="0" collapsed="false">
      <c r="A25" s="30" t="s">
        <v>224</v>
      </c>
      <c r="B25" s="31" t="n">
        <f aca="false">SUM(B21:B24)</f>
        <v>9.20703820754717</v>
      </c>
      <c r="C25" s="31" t="n">
        <f aca="false">SUM(C21:C24)</f>
        <v>15.1930188679245</v>
      </c>
      <c r="D25" s="31" t="n">
        <f aca="false">SUM(D21:D24)</f>
        <v>43.1345054716981</v>
      </c>
      <c r="E25" s="31" t="n">
        <f aca="false">SUM(E21:E24)</f>
        <v>10.6066188679245</v>
      </c>
      <c r="F25" s="9"/>
    </row>
    <row r="26" customFormat="false" ht="15" hidden="false" customHeight="false" outlineLevel="0" collapsed="false">
      <c r="A26" s="30" t="s">
        <v>225</v>
      </c>
      <c r="B26" s="25" t="n">
        <f aca="false">B25*ThongSo!$B$5</f>
        <v>243986.5125</v>
      </c>
      <c r="C26" s="25" t="n">
        <f aca="false">C25*ThongSo!$B$5</f>
        <v>402615</v>
      </c>
      <c r="D26" s="25" t="n">
        <f aca="false">D25*ThongSo!$B$5</f>
        <v>1143064.395</v>
      </c>
      <c r="E26" s="25" t="n">
        <f aca="false">E25*ThongSo!$B$5</f>
        <v>281075.4</v>
      </c>
      <c r="F26" s="9"/>
    </row>
    <row r="28" customFormat="false" ht="15" hidden="false" customHeight="false" outlineLevel="0" collapsed="false">
      <c r="A28" s="15" t="s">
        <v>226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9" t="s">
        <v>227</v>
      </c>
      <c r="B29" s="23" t="n">
        <f aca="false">B11*ThongSo!$B$7*(ThongSo!B29*ThongSo!$D$36+ThongSo!B30*ThongSo!$D$37+ThongSo!B31*ThongSo!$D$38)</f>
        <v>32.4</v>
      </c>
      <c r="C29" s="23" t="n">
        <f aca="false">C11*ThongSo!$B$7*(ThongSo!C29*ThongSo!$D$36+ThongSo!C30*ThongSo!$D$37+ThongSo!C31*ThongSo!$D$38)</f>
        <v>70.2</v>
      </c>
      <c r="D29" s="23" t="n">
        <f aca="false">D11*ThongSo!$B$7*(ThongSo!D29*ThongSo!$D$36+ThongSo!D30*ThongSo!$D$37+ThongSo!D31*ThongSo!$D$38)</f>
        <v>198.288</v>
      </c>
      <c r="E29" s="23" t="n">
        <f aca="false">E11*ThongSo!$B$7*(ThongSo!E29*ThongSo!$D$36+ThongSo!E30*ThongSo!$D$37+ThongSo!E31*ThongSo!$D$38)</f>
        <v>70.2</v>
      </c>
      <c r="F29" s="9" t="s">
        <v>228</v>
      </c>
    </row>
    <row r="30" customFormat="false" ht="15" hidden="false" customHeight="false" outlineLevel="0" collapsed="false">
      <c r="A30" s="9" t="s">
        <v>229</v>
      </c>
      <c r="B30" s="23" t="n">
        <f aca="false">B17*ThongSo!$B$42</f>
        <v>6.231</v>
      </c>
      <c r="C30" s="23" t="n">
        <f aca="false">C17*ThongSo!$B$42</f>
        <v>8.04</v>
      </c>
      <c r="D30" s="23" t="n">
        <f aca="false">D17*ThongSo!$B$42</f>
        <v>11.658</v>
      </c>
      <c r="E30" s="23" t="n">
        <f aca="false">E17*ThongSo!$B$42</f>
        <v>8.04</v>
      </c>
      <c r="F30" s="9"/>
    </row>
    <row r="31" customFormat="false" ht="15" hidden="false" customHeight="false" outlineLevel="0" collapsed="false">
      <c r="A31" s="9" t="s">
        <v>230</v>
      </c>
      <c r="B31" s="22" t="n">
        <f aca="false">B22</f>
        <v>3.4398</v>
      </c>
      <c r="C31" s="22" t="n">
        <f aca="false">C22</f>
        <v>4.5864</v>
      </c>
      <c r="D31" s="22" t="n">
        <f aca="false">D22</f>
        <v>5.733</v>
      </c>
      <c r="E31" s="22" t="n">
        <f aca="false">E22</f>
        <v>0</v>
      </c>
      <c r="F31" s="9" t="s">
        <v>231</v>
      </c>
    </row>
    <row r="32" customFormat="false" ht="15" hidden="false" customHeight="false" outlineLevel="0" collapsed="false">
      <c r="A32" s="9" t="s">
        <v>223</v>
      </c>
      <c r="B32" s="22" t="n">
        <f aca="false">B24</f>
        <v>3.4749</v>
      </c>
      <c r="C32" s="22" t="n">
        <f aca="false">C24</f>
        <v>3.4749</v>
      </c>
      <c r="D32" s="22" t="n">
        <f aca="false">D24</f>
        <v>3.4749</v>
      </c>
      <c r="E32" s="22" t="n">
        <f aca="false">E24</f>
        <v>3.4749</v>
      </c>
      <c r="F32" s="9"/>
    </row>
    <row r="33" customFormat="false" ht="15" hidden="false" customHeight="false" outlineLevel="0" collapsed="false">
      <c r="A33" s="9" t="s">
        <v>147</v>
      </c>
      <c r="B33" s="23" t="n">
        <f aca="false">ThongSo!$B$45</f>
        <v>1</v>
      </c>
      <c r="C33" s="23" t="n">
        <f aca="false">ThongSo!$B$45</f>
        <v>1</v>
      </c>
      <c r="D33" s="23" t="n">
        <f aca="false">ThongSo!$B$45</f>
        <v>1</v>
      </c>
      <c r="E33" s="23" t="n">
        <f aca="false">ThongSo!$B$45</f>
        <v>1</v>
      </c>
      <c r="F33" s="9"/>
    </row>
    <row r="34" customFormat="false" ht="15" hidden="false" customHeight="false" outlineLevel="0" collapsed="false">
      <c r="A34" s="30" t="s">
        <v>232</v>
      </c>
      <c r="B34" s="31" t="n">
        <f aca="false">SUM(B29:B33)</f>
        <v>46.5457</v>
      </c>
      <c r="C34" s="31" t="n">
        <f aca="false">SUM(C29:C33)</f>
        <v>87.3013</v>
      </c>
      <c r="D34" s="31" t="n">
        <f aca="false">SUM(D29:D33)</f>
        <v>220.1539</v>
      </c>
      <c r="E34" s="31" t="n">
        <f aca="false">SUM(E29:E33)</f>
        <v>82.7149</v>
      </c>
      <c r="F34" s="9"/>
    </row>
    <row r="35" customFormat="false" ht="15" hidden="false" customHeight="false" outlineLevel="0" collapsed="false">
      <c r="A35" s="30" t="s">
        <v>233</v>
      </c>
      <c r="B35" s="32" t="n">
        <f aca="false">IF(B25&gt;0,B34/B25,0)</f>
        <v>5.05544768586337</v>
      </c>
      <c r="C35" s="32" t="n">
        <f aca="false">IF(C25&gt;0,C34/C25,0)</f>
        <v>5.74614569750258</v>
      </c>
      <c r="D35" s="32" t="n">
        <f aca="false">IF(D25&gt;0,D34/D25,0)</f>
        <v>5.10389298758623</v>
      </c>
      <c r="E35" s="32" t="n">
        <f aca="false">IF(E25&gt;0,E34/E25,0)</f>
        <v>7.79842294985616</v>
      </c>
      <c r="F35" s="9"/>
    </row>
    <row r="37" customFormat="false" ht="15" hidden="false" customHeight="false" outlineLevel="0" collapsed="false">
      <c r="A37" s="15" t="s">
        <v>234</v>
      </c>
      <c r="B37" s="16"/>
      <c r="C37" s="16"/>
      <c r="D37" s="16"/>
      <c r="E37" s="16"/>
      <c r="F37" s="16"/>
    </row>
    <row r="38" customFormat="false" ht="15" hidden="false" customHeight="false" outlineLevel="0" collapsed="false">
      <c r="A38" s="8" t="s">
        <v>235</v>
      </c>
      <c r="B38" s="8" t="s">
        <v>236</v>
      </c>
      <c r="C38" s="8" t="s">
        <v>237</v>
      </c>
      <c r="D38" s="8" t="s">
        <v>238</v>
      </c>
      <c r="E38" s="8"/>
      <c r="F38" s="8" t="s">
        <v>77</v>
      </c>
    </row>
    <row r="39" customFormat="false" ht="15" hidden="false" customHeight="false" outlineLevel="0" collapsed="false">
      <c r="A39" s="11" t="s">
        <v>239</v>
      </c>
      <c r="B39" s="21" t="s">
        <v>240</v>
      </c>
      <c r="C39" s="21" t="s">
        <v>241</v>
      </c>
      <c r="D39" s="21" t="s">
        <v>242</v>
      </c>
    </row>
    <row r="40" customFormat="false" ht="26.85" hidden="false" customHeight="false" outlineLevel="0" collapsed="false">
      <c r="A40" s="11" t="s">
        <v>243</v>
      </c>
      <c r="B40" s="33" t="s">
        <v>73</v>
      </c>
      <c r="C40" s="33" t="s">
        <v>74</v>
      </c>
      <c r="D40" s="33" t="s">
        <v>74</v>
      </c>
      <c r="F40" s="9" t="s">
        <v>244</v>
      </c>
    </row>
    <row r="41" customFormat="false" ht="15" hidden="false" customHeight="false" outlineLevel="0" collapsed="false">
      <c r="A41" s="11" t="s">
        <v>245</v>
      </c>
      <c r="B41" s="33" t="s">
        <v>142</v>
      </c>
      <c r="C41" s="33" t="s">
        <v>246</v>
      </c>
      <c r="D41" s="33" t="s">
        <v>246</v>
      </c>
    </row>
    <row r="42" customFormat="false" ht="15" hidden="false" customHeight="false" outlineLevel="0" collapsed="false">
      <c r="A42" s="11" t="s">
        <v>247</v>
      </c>
      <c r="B42" s="10" t="n">
        <v>4</v>
      </c>
      <c r="C42" s="10" t="n">
        <v>12</v>
      </c>
      <c r="D42" s="10" t="n">
        <v>24</v>
      </c>
    </row>
    <row r="43" customFormat="false" ht="26.85" hidden="false" customHeight="false" outlineLevel="0" collapsed="false">
      <c r="A43" s="11" t="s">
        <v>248</v>
      </c>
      <c r="B43" s="10" t="n">
        <v>0</v>
      </c>
      <c r="C43" s="10" t="n">
        <v>8</v>
      </c>
      <c r="D43" s="10" t="n">
        <v>16</v>
      </c>
      <c r="F43" s="9" t="s">
        <v>249</v>
      </c>
    </row>
    <row r="44" customFormat="false" ht="15" hidden="false" customHeight="false" outlineLevel="0" collapsed="false">
      <c r="A44" s="11" t="s">
        <v>250</v>
      </c>
      <c r="B44" s="26" t="n">
        <f aca="false">(B42+B43)*ThongSo!$B$10</f>
        <v>20</v>
      </c>
      <c r="C44" s="26" t="n">
        <f aca="false">(C42+C43)*ThongSo!$B$10</f>
        <v>100</v>
      </c>
      <c r="D44" s="26" t="n">
        <f aca="false">(D42+D43)*ThongSo!$B$10</f>
        <v>200</v>
      </c>
    </row>
    <row r="45" customFormat="false" ht="15" hidden="false" customHeight="false" outlineLevel="0" collapsed="false">
      <c r="A45" s="11" t="s">
        <v>251</v>
      </c>
      <c r="B45" s="12" t="n">
        <v>0</v>
      </c>
      <c r="C45" s="12" t="n">
        <v>20</v>
      </c>
      <c r="D45" s="12" t="n">
        <v>40</v>
      </c>
    </row>
    <row r="46" customFormat="false" ht="15" hidden="false" customHeight="false" outlineLevel="0" collapsed="false">
      <c r="A46" s="9" t="s">
        <v>252</v>
      </c>
      <c r="B46" s="29" t="n">
        <f aca="false">B42+B43+B44+B45</f>
        <v>24</v>
      </c>
      <c r="C46" s="29" t="n">
        <f aca="false">C42+C43+C44+C45</f>
        <v>140</v>
      </c>
      <c r="D46" s="29" t="n">
        <f aca="false">D42+D43+D44+D45</f>
        <v>280</v>
      </c>
    </row>
    <row r="47" customFormat="false" ht="26.85" hidden="false" customHeight="false" outlineLevel="0" collapsed="false">
      <c r="A47" s="9" t="s">
        <v>253</v>
      </c>
      <c r="B47" s="26" t="n">
        <f aca="false">B42*IF(B41="Pro",INDEX($B$15:$D$15,MATCH(B40,$B$4:$D$4,0)),INDEX($B$14:$D$14,MATCH(B40,$B$4:$D$4,0)))+B43*IF(B41="Pro",$E$15,$E$14)+B45*ThongSo!$B$11/ThongSo!$B$7*ThongSo!$B$12*IF(B41="Pro",ThongSo!$B$37,ThongSo!$C$37)</f>
        <v>2430</v>
      </c>
      <c r="C47" s="26" t="n">
        <f aca="false">C42*IF(C41="Pro",INDEX($B$15:$D$15,MATCH(C40,$B$4:$D$4,0)),INDEX($B$14:$D$14,MATCH(C40,$B$4:$D$4,0)))+C43*IF(C41="Pro",$E$15,$E$14)+C45*ThongSo!$B$11/ThongSo!$B$7*ThongSo!$B$12*IF(C41="Pro",ThongSo!$B$37,ThongSo!$C$37)</f>
        <v>21712.5</v>
      </c>
      <c r="D47" s="26" t="n">
        <f aca="false">D42*IF(D41="Pro",INDEX($B$15:$D$15,MATCH(D40,$B$4:$D$4,0)),INDEX($B$14:$D$14,MATCH(D40,$B$4:$D$4,0)))+D43*IF(D41="Pro",$E$15,$E$14)+D45*ThongSo!$B$11/ThongSo!$B$7*ThongSo!$B$12*IF(D41="Pro",ThongSo!$B$37,ThongSo!$C$37)</f>
        <v>43425</v>
      </c>
      <c r="F47" s="9" t="s">
        <v>254</v>
      </c>
    </row>
    <row r="48" customFormat="false" ht="15" hidden="false" customHeight="false" outlineLevel="0" collapsed="false">
      <c r="A48" s="9" t="s">
        <v>255</v>
      </c>
      <c r="B48" s="26" t="n">
        <f aca="false">SUMPRODUCT((CongCu!$F$5:$F$23="Flow")*CongCu!$G$5:$G$23*CongCu!$I$5:$I$23)</f>
        <v>2500</v>
      </c>
      <c r="C48" s="26" t="n">
        <f aca="false">SUMPRODUCT((CongCu!$F$5:$F$23="Flow")*CongCu!$G$5:$G$23*CongCu!$J$5:$J$23)</f>
        <v>26500</v>
      </c>
      <c r="D48" s="26" t="n">
        <f aca="false">SUMPRODUCT((CongCu!$F$5:$F$23="Flow")*CongCu!$G$5:$G$23*CongCu!$K$5:$K$23)</f>
        <v>53000</v>
      </c>
    </row>
    <row r="49" customFormat="false" ht="15" hidden="false" customHeight="false" outlineLevel="0" collapsed="false">
      <c r="A49" s="9" t="s">
        <v>256</v>
      </c>
      <c r="B49" s="11" t="str">
        <f aca="false">IF(B48&gt;=B47,"ĐỦ","THIẾU")</f>
        <v>ĐỦ</v>
      </c>
      <c r="C49" s="11" t="str">
        <f aca="false">IF(C48&gt;=C47,"ĐỦ","THIẾU")</f>
        <v>ĐỦ</v>
      </c>
      <c r="D49" s="11" t="str">
        <f aca="false">IF(D48&gt;=D47,"ĐỦ","THIẾU")</f>
        <v>ĐỦ</v>
      </c>
    </row>
    <row r="50" customFormat="false" ht="15" hidden="false" customHeight="false" outlineLevel="0" collapsed="false">
      <c r="A50" s="9" t="s">
        <v>257</v>
      </c>
      <c r="B50" s="29" t="n">
        <f aca="false">B42*INDEX($B$8:$D$8,MATCH(B40,$B$4:$D$4,0))</f>
        <v>280.8</v>
      </c>
      <c r="C50" s="29" t="n">
        <f aca="false">C42*INDEX($B$8:$D$8,MATCH(C40,$B$4:$D$4,0))</f>
        <v>1123.2</v>
      </c>
      <c r="D50" s="29" t="n">
        <f aca="false">D42*INDEX($B$8:$D$8,MATCH(D40,$B$4:$D$4,0))</f>
        <v>2246.4</v>
      </c>
    </row>
    <row r="51" customFormat="false" ht="15" hidden="false" customHeight="false" outlineLevel="0" collapsed="false">
      <c r="A51" s="9" t="s">
        <v>258</v>
      </c>
      <c r="B51" s="26" t="n">
        <f aca="false">SUMPRODUCT((CongCu!$F$5:$F$23="HeyGen")*CongCu!$G$5:$G$23*CongCu!$I$5:$I$23)</f>
        <v>600</v>
      </c>
      <c r="C51" s="26" t="n">
        <f aca="false">SUMPRODUCT((CongCu!$F$5:$F$23="HeyGen")*CongCu!$G$5:$G$23*CongCu!$J$5:$J$23)</f>
        <v>1500</v>
      </c>
      <c r="D51" s="26" t="n">
        <f aca="false">SUMPRODUCT((CongCu!$F$5:$F$23="HeyGen")*CongCu!$G$5:$G$23*CongCu!$K$5:$K$23)</f>
        <v>3000</v>
      </c>
    </row>
    <row r="52" customFormat="false" ht="15" hidden="false" customHeight="false" outlineLevel="0" collapsed="false">
      <c r="A52" s="9" t="s">
        <v>259</v>
      </c>
      <c r="B52" s="11" t="str">
        <f aca="false">IF(B51&gt;=B50,"ĐỦ","THIẾU")</f>
        <v>ĐỦ</v>
      </c>
      <c r="C52" s="11" t="str">
        <f aca="false">IF(C51&gt;=C50,"ĐỦ","THIẾU")</f>
        <v>ĐỦ</v>
      </c>
      <c r="D52" s="11" t="str">
        <f aca="false">IF(D51&gt;=D50,"ĐỦ","THIẾU")</f>
        <v>ĐỦ</v>
      </c>
    </row>
    <row r="53" customFormat="false" ht="15" hidden="false" customHeight="false" outlineLevel="0" collapsed="false">
      <c r="A53" s="9" t="s">
        <v>260</v>
      </c>
      <c r="B53" s="26" t="n">
        <f aca="false">(B42+B43)*$C$18+B45*ThongSo!$B$11/60*ThongSo!$B$13*ThongSo!$B$14</f>
        <v>84240</v>
      </c>
      <c r="C53" s="26" t="n">
        <f aca="false">(C42+C43)*$C$18+C45*ThongSo!$B$11/60*ThongSo!$B$13*ThongSo!$B$14</f>
        <v>438750</v>
      </c>
      <c r="D53" s="26" t="n">
        <f aca="false">(D42+D43)*$C$18+D45*ThongSo!$B$11/60*ThongSo!$B$13*ThongSo!$B$14</f>
        <v>877500</v>
      </c>
    </row>
    <row r="54" customFormat="false" ht="15" hidden="false" customHeight="false" outlineLevel="0" collapsed="false">
      <c r="A54" s="9" t="s">
        <v>261</v>
      </c>
      <c r="B54" s="26" t="n">
        <f aca="false">SUMPRODUCT((CongCu!$F$5:$F$23="ElevenLabs")*CongCu!$G$5:$G$23*CongCu!$I$5:$I$23)</f>
        <v>121000</v>
      </c>
      <c r="C54" s="26" t="n">
        <f aca="false">SUMPRODUCT((CongCu!$F$5:$F$23="ElevenLabs")*CongCu!$G$5:$G$23*CongCu!$J$5:$J$23)</f>
        <v>600000</v>
      </c>
      <c r="D54" s="26" t="n">
        <f aca="false">SUMPRODUCT((CongCu!$F$5:$F$23="ElevenLabs")*CongCu!$G$5:$G$23*CongCu!$K$5:$K$23)</f>
        <v>1200000</v>
      </c>
    </row>
    <row r="55" customFormat="false" ht="15" hidden="false" customHeight="false" outlineLevel="0" collapsed="false">
      <c r="A55" s="9" t="s">
        <v>262</v>
      </c>
      <c r="B55" s="11" t="str">
        <f aca="false">IF(B54&gt;=B53,"ĐỦ","THIẾU")</f>
        <v>ĐỦ</v>
      </c>
      <c r="C55" s="11" t="str">
        <f aca="false">IF(C54&gt;=C53,"ĐỦ","THIẾU")</f>
        <v>ĐỦ</v>
      </c>
      <c r="D55" s="11" t="str">
        <f aca="false">IF(D54&gt;=D53,"ĐỦ","THIẾU")</f>
        <v>ĐỦ</v>
      </c>
    </row>
    <row r="56" customFormat="false" ht="15" hidden="false" customHeight="false" outlineLevel="0" collapsed="false">
      <c r="A56" s="30" t="s">
        <v>263</v>
      </c>
      <c r="B56" s="34" t="n">
        <f aca="false">CongCu!I27</f>
        <v>166.089</v>
      </c>
      <c r="C56" s="34" t="n">
        <f aca="false">CongCu!J27</f>
        <v>761.189</v>
      </c>
      <c r="D56" s="34" t="n">
        <f aca="false">CongCu!K27</f>
        <v>1561.978</v>
      </c>
    </row>
    <row r="57" customFormat="false" ht="15" hidden="false" customHeight="false" outlineLevel="0" collapsed="false">
      <c r="A57" s="30" t="s">
        <v>264</v>
      </c>
      <c r="B57" s="25" t="n">
        <f aca="false">B56*ThongSo!$B$5</f>
        <v>4401358.5</v>
      </c>
      <c r="C57" s="25" t="n">
        <f aca="false">C56*ThongSo!$B$5</f>
        <v>20171508.5</v>
      </c>
      <c r="D57" s="25" t="n">
        <f aca="false">D56*ThongSo!$B$5</f>
        <v>41392417</v>
      </c>
    </row>
    <row r="58" customFormat="false" ht="26.85" hidden="false" customHeight="false" outlineLevel="0" collapsed="false">
      <c r="A58" s="30" t="s">
        <v>265</v>
      </c>
      <c r="B58" s="31" t="n">
        <f aca="false">IF((B42+B43)&gt;0,B56/(B42+B43),0)</f>
        <v>41.52225</v>
      </c>
      <c r="C58" s="31" t="n">
        <f aca="false">IF((C42+C43)&gt;0,C56/(C42+C43),0)</f>
        <v>38.05945</v>
      </c>
      <c r="D58" s="31" t="n">
        <f aca="false">IF((D42+D43)&gt;0,D56/(D42+D43),0)</f>
        <v>39.04945</v>
      </c>
    </row>
    <row r="59" customFormat="false" ht="15" hidden="false" customHeight="false" outlineLevel="0" collapsed="false">
      <c r="A59" s="30" t="s">
        <v>266</v>
      </c>
      <c r="B59" s="25" t="n">
        <f aca="false">B58*ThongSo!$B$5</f>
        <v>1100339.625</v>
      </c>
      <c r="C59" s="25" t="n">
        <f aca="false">C58*ThongSo!$B$5</f>
        <v>1008575.425</v>
      </c>
      <c r="D59" s="25" t="n">
        <f aca="false">D58*ThongSo!$B$5</f>
        <v>1034810.425</v>
      </c>
    </row>
    <row r="60" customFormat="false" ht="15" hidden="false" customHeight="false" outlineLevel="0" collapsed="false">
      <c r="A60" s="30" t="s">
        <v>267</v>
      </c>
      <c r="B60" s="31" t="n">
        <f aca="false">IF(B46&gt;0,B56/B46,0)</f>
        <v>6.920375</v>
      </c>
      <c r="C60" s="31" t="n">
        <f aca="false">IF(C46&gt;0,C56/C46,0)</f>
        <v>5.43706428571429</v>
      </c>
      <c r="D60" s="31" t="n">
        <f aca="false">IF(D46&gt;0,D56/D46,0)</f>
        <v>5.57849285714286</v>
      </c>
    </row>
    <row r="61" customFormat="false" ht="15" hidden="false" customHeight="false" outlineLevel="0" collapsed="false">
      <c r="A61" s="30" t="s">
        <v>268</v>
      </c>
      <c r="B61" s="25" t="n">
        <f aca="false">B60*ThongSo!$B$5</f>
        <v>183389.9375</v>
      </c>
      <c r="C61" s="25" t="n">
        <f aca="false">C60*ThongSo!$B$5</f>
        <v>144082.203571429</v>
      </c>
      <c r="D61" s="25" t="n">
        <f aca="false">D60*ThongSo!$B$5</f>
        <v>147830.060714286</v>
      </c>
    </row>
    <row r="63" customFormat="false" ht="15" hidden="false" customHeight="false" outlineLevel="0" collapsed="false">
      <c r="A63" s="15" t="s">
        <v>269</v>
      </c>
      <c r="B63" s="16"/>
      <c r="C63" s="16"/>
      <c r="D63" s="16"/>
      <c r="E63" s="16"/>
      <c r="F63" s="16"/>
    </row>
    <row r="64" customFormat="false" ht="26.85" hidden="false" customHeight="false" outlineLevel="0" collapsed="false">
      <c r="A64" s="8" t="s">
        <v>235</v>
      </c>
      <c r="B64" s="8" t="s">
        <v>270</v>
      </c>
      <c r="C64" s="8" t="s">
        <v>271</v>
      </c>
      <c r="D64" s="8" t="s">
        <v>272</v>
      </c>
      <c r="E64" s="8"/>
      <c r="F64" s="8" t="s">
        <v>273</v>
      </c>
    </row>
    <row r="65" customFormat="false" ht="15" hidden="false" customHeight="false" outlineLevel="0" collapsed="false">
      <c r="A65" s="9" t="s">
        <v>274</v>
      </c>
      <c r="B65" s="26" t="n">
        <f aca="false">ThongSo!$B$17</f>
        <v>20</v>
      </c>
      <c r="C65" s="26" t="n">
        <f aca="false">ThongSo!$B$50</f>
        <v>20</v>
      </c>
      <c r="D65" s="26" t="n">
        <f aca="false">ThongSo!$B$51</f>
        <v>40</v>
      </c>
      <c r="F65" s="9" t="s">
        <v>275</v>
      </c>
    </row>
    <row r="66" customFormat="false" ht="26.85" hidden="false" customHeight="false" outlineLevel="0" collapsed="false">
      <c r="A66" s="9" t="s">
        <v>276</v>
      </c>
      <c r="B66" s="35" t="n">
        <f aca="false">C7</f>
        <v>4.68</v>
      </c>
      <c r="C66" s="28" t="n">
        <f aca="false">ThongSo!$B$6/60*ThongSo!$B$52*ThongSo!$B$53</f>
        <v>23.4</v>
      </c>
      <c r="D66" s="28" t="n">
        <f aca="false">ThongSo!$B$6/60*ThongSo!$B$52*ThongSo!$B$53</f>
        <v>23.4</v>
      </c>
      <c r="F66" s="9" t="s">
        <v>277</v>
      </c>
    </row>
    <row r="67" customFormat="false" ht="15" hidden="false" customHeight="false" outlineLevel="0" collapsed="false">
      <c r="A67" s="9" t="s">
        <v>204</v>
      </c>
      <c r="B67" s="29" t="n">
        <f aca="false">C8</f>
        <v>93.6</v>
      </c>
      <c r="C67" s="29" t="n">
        <f aca="false">C66*C65</f>
        <v>468</v>
      </c>
      <c r="D67" s="29" t="n">
        <f aca="false">D66*D65</f>
        <v>936</v>
      </c>
      <c r="F67" s="9"/>
    </row>
    <row r="68" customFormat="false" ht="26.85" hidden="false" customHeight="false" outlineLevel="0" collapsed="false">
      <c r="A68" s="9" t="s">
        <v>278</v>
      </c>
      <c r="B68" s="29" t="n">
        <f aca="false">C14</f>
        <v>945</v>
      </c>
      <c r="C68" s="29" t="n">
        <v>0</v>
      </c>
      <c r="D68" s="29" t="n">
        <v>0</v>
      </c>
      <c r="F68" s="9" t="s">
        <v>279</v>
      </c>
    </row>
    <row r="69" customFormat="false" ht="15" hidden="false" customHeight="false" outlineLevel="0" collapsed="false">
      <c r="A69" s="9" t="s">
        <v>280</v>
      </c>
      <c r="B69" s="29" t="n">
        <f aca="false">C18</f>
        <v>21060</v>
      </c>
      <c r="C69" s="29" t="n">
        <v>0</v>
      </c>
      <c r="D69" s="29" t="n">
        <v>0</v>
      </c>
      <c r="F69" s="9" t="s">
        <v>281</v>
      </c>
    </row>
    <row r="70" customFormat="false" ht="15" hidden="false" customHeight="false" outlineLevel="0" collapsed="false">
      <c r="A70" s="30" t="s">
        <v>282</v>
      </c>
      <c r="B70" s="31" t="n">
        <f aca="false">C25</f>
        <v>15.1930188679245</v>
      </c>
      <c r="C70" s="34" t="n">
        <f aca="false">C67*ThongSo!$B$18</f>
        <v>22.932</v>
      </c>
      <c r="D70" s="34" t="n">
        <f aca="false">D67*ThongSo!$B$18</f>
        <v>45.864</v>
      </c>
      <c r="F70" s="9" t="s">
        <v>283</v>
      </c>
    </row>
    <row r="71" customFormat="false" ht="15" hidden="false" customHeight="false" outlineLevel="0" collapsed="false">
      <c r="A71" s="30" t="s">
        <v>284</v>
      </c>
      <c r="B71" s="25" t="n">
        <f aca="false">B70*ThongSo!$B$5</f>
        <v>402615</v>
      </c>
      <c r="C71" s="25" t="n">
        <f aca="false">C70*ThongSo!$B$5</f>
        <v>607698</v>
      </c>
      <c r="D71" s="25" t="n">
        <f aca="false">D70*ThongSo!$B$5</f>
        <v>1215396</v>
      </c>
      <c r="F71" s="9"/>
    </row>
    <row r="72" customFormat="false" ht="15" hidden="false" customHeight="false" outlineLevel="0" collapsed="false">
      <c r="A72" s="9" t="s">
        <v>285</v>
      </c>
      <c r="B72" s="36" t="n">
        <f aca="false">1</f>
        <v>1</v>
      </c>
      <c r="C72" s="36" t="n">
        <f aca="false">IF($B$70&gt;0,C70/$B$70,0)</f>
        <v>1.50937744495362</v>
      </c>
      <c r="D72" s="36" t="n">
        <f aca="false">IF($B$70&gt;0,D70/$B$70,0)</f>
        <v>3.01875488990723</v>
      </c>
      <c r="F72" s="9"/>
    </row>
    <row r="73" customFormat="false" ht="15" hidden="false" customHeight="false" outlineLevel="0" collapsed="false">
      <c r="A73" s="9" t="s">
        <v>286</v>
      </c>
      <c r="B73" s="29" t="n">
        <f aca="false">$C$42</f>
        <v>12</v>
      </c>
      <c r="C73" s="29" t="n">
        <f aca="false">$C$42</f>
        <v>12</v>
      </c>
      <c r="D73" s="29" t="n">
        <f aca="false">$C$42</f>
        <v>12</v>
      </c>
      <c r="F73" s="9"/>
    </row>
    <row r="74" customFormat="false" ht="15" hidden="false" customHeight="false" outlineLevel="0" collapsed="false">
      <c r="A74" s="9" t="s">
        <v>287</v>
      </c>
      <c r="B74" s="29" t="n">
        <f aca="false">C50</f>
        <v>1123.2</v>
      </c>
      <c r="C74" s="29" t="n">
        <f aca="false">C67*C73</f>
        <v>5616</v>
      </c>
      <c r="D74" s="29" t="n">
        <f aca="false">D67*D73</f>
        <v>11232</v>
      </c>
      <c r="F74" s="9"/>
    </row>
    <row r="75" customFormat="false" ht="26.85" hidden="false" customHeight="false" outlineLevel="0" collapsed="false">
      <c r="A75" s="9" t="s">
        <v>288</v>
      </c>
      <c r="B75" s="23" t="n">
        <f aca="false">SUMPRODUCT((CongCu!$B$5:$B$23="HeyGen")*CongCu!$E$5:$E$23*CongCu!$J$5:$J$23)</f>
        <v>74</v>
      </c>
      <c r="C75" s="23" t="n">
        <f aca="false">C74*ThongSo!$B$18</f>
        <v>275.184</v>
      </c>
      <c r="D75" s="23" t="n">
        <f aca="false">D74*ThongSo!$B$18</f>
        <v>550.368</v>
      </c>
      <c r="F75" s="9" t="s">
        <v>289</v>
      </c>
    </row>
    <row r="76" customFormat="false" ht="15" hidden="false" customHeight="false" outlineLevel="0" collapsed="false">
      <c r="A76" s="30" t="s">
        <v>290</v>
      </c>
      <c r="B76" s="31" t="n">
        <f aca="false">0</f>
        <v>0</v>
      </c>
      <c r="C76" s="31" t="n">
        <f aca="false">C75-$B$75</f>
        <v>201.184</v>
      </c>
      <c r="D76" s="31" t="n">
        <f aca="false">D75-$B$75</f>
        <v>476.368</v>
      </c>
      <c r="F76" s="9"/>
    </row>
    <row r="77" customFormat="false" ht="15" hidden="false" customHeight="false" outlineLevel="0" collapsed="false">
      <c r="A77" s="30" t="s">
        <v>291</v>
      </c>
      <c r="B77" s="25" t="n">
        <f aca="false">B76*ThongSo!$B$5</f>
        <v>0</v>
      </c>
      <c r="C77" s="25" t="n">
        <f aca="false">C76*ThongSo!$B$5</f>
        <v>5331376</v>
      </c>
      <c r="D77" s="25" t="n">
        <f aca="false">D76*ThongSo!$B$5</f>
        <v>12623752</v>
      </c>
      <c r="F77" s="9"/>
    </row>
    <row r="78" customFormat="false" ht="26.85" hidden="false" customHeight="false" outlineLevel="0" collapsed="false">
      <c r="A78" s="9" t="s">
        <v>292</v>
      </c>
      <c r="B78" s="22" t="n">
        <f aca="false">$C$56</f>
        <v>761.189</v>
      </c>
      <c r="C78" s="23" t="n">
        <f aca="false">$C$56+C76*(1+ThongSo!$B$46)</f>
        <v>982.4914</v>
      </c>
      <c r="D78" s="23" t="n">
        <f aca="false">$C$56+D76*(1+ThongSo!$B$46)</f>
        <v>1285.1938</v>
      </c>
      <c r="F78" s="9" t="s">
        <v>293</v>
      </c>
    </row>
    <row r="79" customFormat="false" ht="15" hidden="false" customHeight="false" outlineLevel="0" collapsed="false">
      <c r="A79" s="9" t="s">
        <v>294</v>
      </c>
      <c r="B79" s="37" t="n">
        <f aca="false">B78*ThongSo!$B$5</f>
        <v>20171508.5</v>
      </c>
      <c r="C79" s="37" t="n">
        <f aca="false">C78*ThongSo!$B$5</f>
        <v>26036022.1</v>
      </c>
      <c r="D79" s="37" t="n">
        <f aca="false">D78*ThongSo!$B$5</f>
        <v>34057635.7</v>
      </c>
      <c r="F79" s="9"/>
    </row>
    <row r="80" customFormat="false" ht="52.2" hidden="false" customHeight="false" outlineLevel="0" collapsed="false">
      <c r="A80" s="9" t="s">
        <v>295</v>
      </c>
      <c r="B80" s="22" t="n">
        <f aca="false">0</f>
        <v>0</v>
      </c>
      <c r="C80" s="23" t="n">
        <f aca="false">(CongCu!$E$10-CongCu!$E$9)+(CongCu!$E$15-CongCu!$E$14)</f>
        <v>257</v>
      </c>
      <c r="D80" s="23" t="n">
        <f aca="false">(CongCu!$E$10-CongCu!$E$9)+(CongCu!$E$15-CongCu!$E$14)</f>
        <v>257</v>
      </c>
      <c r="F80" s="9" t="s">
        <v>296</v>
      </c>
    </row>
    <row r="81" customFormat="false" ht="26.85" hidden="false" customHeight="false" outlineLevel="0" collapsed="false">
      <c r="A81" s="30" t="s">
        <v>297</v>
      </c>
      <c r="B81" s="31" t="n">
        <f aca="false">0</f>
        <v>0</v>
      </c>
      <c r="C81" s="31" t="n">
        <f aca="false">C76-C80</f>
        <v>-55.8159999999999</v>
      </c>
      <c r="D81" s="31" t="n">
        <f aca="false">D76-D80</f>
        <v>219.368</v>
      </c>
      <c r="F81" s="9" t="s">
        <v>298</v>
      </c>
    </row>
    <row r="82" customFormat="false" ht="26.85" hidden="false" customHeight="false" outlineLevel="0" collapsed="false">
      <c r="A82" s="30" t="s">
        <v>299</v>
      </c>
      <c r="B82" s="25" t="n">
        <f aca="false">B81*ThongSo!$B$5</f>
        <v>0</v>
      </c>
      <c r="C82" s="25" t="n">
        <f aca="false">C81*ThongSo!$B$5</f>
        <v>-1479124</v>
      </c>
      <c r="D82" s="25" t="n">
        <f aca="false">D81*ThongSo!$B$5</f>
        <v>5813252.00000001</v>
      </c>
      <c r="F8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30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4" customFormat="false" ht="26.85" hidden="false" customHeight="false" outlineLevel="0" collapsed="false">
      <c r="A4" s="8" t="s">
        <v>130</v>
      </c>
      <c r="B4" s="8" t="s">
        <v>302</v>
      </c>
      <c r="C4" s="8" t="s">
        <v>303</v>
      </c>
      <c r="D4" s="8" t="s">
        <v>304</v>
      </c>
      <c r="E4" s="8" t="s">
        <v>305</v>
      </c>
      <c r="F4" s="8" t="s">
        <v>77</v>
      </c>
    </row>
    <row r="5" customFormat="false" ht="26.85" hidden="false" customHeight="false" outlineLevel="0" collapsed="false">
      <c r="A5" s="11" t="n">
        <v>1</v>
      </c>
      <c r="B5" s="9" t="s">
        <v>306</v>
      </c>
      <c r="C5" s="9" t="s">
        <v>307</v>
      </c>
      <c r="D5" s="12" t="n">
        <v>45</v>
      </c>
      <c r="E5" s="12" t="n">
        <v>25</v>
      </c>
      <c r="F5" s="9" t="s">
        <v>308</v>
      </c>
    </row>
    <row r="6" customFormat="false" ht="26.85" hidden="false" customHeight="false" outlineLevel="0" collapsed="false">
      <c r="A6" s="11" t="n">
        <v>2</v>
      </c>
      <c r="B6" s="9" t="s">
        <v>309</v>
      </c>
      <c r="C6" s="9" t="s">
        <v>310</v>
      </c>
      <c r="D6" s="12" t="n">
        <v>60</v>
      </c>
      <c r="E6" s="12" t="n">
        <v>40</v>
      </c>
      <c r="F6" s="9" t="s">
        <v>311</v>
      </c>
    </row>
    <row r="7" customFormat="false" ht="15" hidden="false" customHeight="false" outlineLevel="0" collapsed="false">
      <c r="A7" s="11" t="n">
        <v>3</v>
      </c>
      <c r="B7" s="9" t="s">
        <v>312</v>
      </c>
      <c r="C7" s="9" t="s">
        <v>313</v>
      </c>
      <c r="D7" s="12" t="n">
        <v>45</v>
      </c>
      <c r="E7" s="12" t="n">
        <v>25</v>
      </c>
      <c r="F7" s="9" t="s">
        <v>314</v>
      </c>
    </row>
    <row r="8" customFormat="false" ht="26.85" hidden="false" customHeight="false" outlineLevel="0" collapsed="false">
      <c r="A8" s="11" t="n">
        <v>4</v>
      </c>
      <c r="B8" s="9" t="s">
        <v>315</v>
      </c>
      <c r="C8" s="9" t="s">
        <v>316</v>
      </c>
      <c r="D8" s="12" t="n">
        <v>20</v>
      </c>
      <c r="E8" s="12" t="n">
        <v>10</v>
      </c>
      <c r="F8" s="9" t="s">
        <v>317</v>
      </c>
    </row>
    <row r="9" customFormat="false" ht="15" hidden="false" customHeight="false" outlineLevel="0" collapsed="false">
      <c r="A9" s="11" t="n">
        <v>5</v>
      </c>
      <c r="B9" s="9" t="s">
        <v>318</v>
      </c>
      <c r="C9" s="9" t="s">
        <v>167</v>
      </c>
      <c r="D9" s="12" t="n">
        <v>25</v>
      </c>
      <c r="E9" s="12" t="n">
        <v>12</v>
      </c>
      <c r="F9" s="9" t="s">
        <v>319</v>
      </c>
    </row>
    <row r="10" customFormat="false" ht="26.85" hidden="false" customHeight="false" outlineLevel="0" collapsed="false">
      <c r="A10" s="11" t="n">
        <v>6</v>
      </c>
      <c r="B10" s="9" t="s">
        <v>320</v>
      </c>
      <c r="C10" s="9" t="s">
        <v>321</v>
      </c>
      <c r="D10" s="12" t="n">
        <v>30</v>
      </c>
      <c r="E10" s="12" t="n">
        <v>15</v>
      </c>
      <c r="F10" s="9" t="s">
        <v>322</v>
      </c>
    </row>
    <row r="11" customFormat="false" ht="15" hidden="false" customHeight="false" outlineLevel="0" collapsed="false">
      <c r="A11" s="11" t="n">
        <v>7</v>
      </c>
      <c r="B11" s="9" t="s">
        <v>323</v>
      </c>
      <c r="C11" s="9" t="s">
        <v>324</v>
      </c>
      <c r="D11" s="12" t="n">
        <v>45</v>
      </c>
      <c r="E11" s="12" t="n">
        <v>25</v>
      </c>
      <c r="F11" s="9"/>
    </row>
    <row r="12" customFormat="false" ht="26.85" hidden="false" customHeight="false" outlineLevel="0" collapsed="false">
      <c r="A12" s="11" t="n">
        <v>8</v>
      </c>
      <c r="B12" s="9" t="s">
        <v>325</v>
      </c>
      <c r="C12" s="9" t="s">
        <v>326</v>
      </c>
      <c r="D12" s="12" t="n">
        <v>100</v>
      </c>
      <c r="E12" s="12" t="n">
        <v>55</v>
      </c>
      <c r="F12" s="9" t="s">
        <v>327</v>
      </c>
    </row>
    <row r="13" customFormat="false" ht="26.85" hidden="false" customHeight="false" outlineLevel="0" collapsed="false">
      <c r="A13" s="11" t="n">
        <v>9</v>
      </c>
      <c r="B13" s="9" t="s">
        <v>328</v>
      </c>
      <c r="C13" s="9" t="s">
        <v>329</v>
      </c>
      <c r="D13" s="12" t="n">
        <v>30</v>
      </c>
      <c r="E13" s="12" t="n">
        <v>15</v>
      </c>
      <c r="F13" s="9"/>
    </row>
    <row r="14" customFormat="false" ht="15" hidden="false" customHeight="false" outlineLevel="0" collapsed="false">
      <c r="A14" s="11" t="n">
        <v>10</v>
      </c>
      <c r="B14" s="9" t="s">
        <v>330</v>
      </c>
      <c r="C14" s="9" t="s">
        <v>331</v>
      </c>
      <c r="D14" s="12" t="n">
        <v>20</v>
      </c>
      <c r="E14" s="12" t="n">
        <v>12</v>
      </c>
      <c r="F14" s="9" t="s">
        <v>332</v>
      </c>
    </row>
    <row r="15" customFormat="false" ht="15" hidden="false" customHeight="false" outlineLevel="0" collapsed="false">
      <c r="B15" s="21" t="s">
        <v>333</v>
      </c>
      <c r="D15" s="38" t="n">
        <f aca="false">SUM(D5:D14)</f>
        <v>420</v>
      </c>
      <c r="E15" s="38" t="n">
        <f aca="false">SUM(E5:E14)</f>
        <v>234</v>
      </c>
    </row>
    <row r="16" customFormat="false" ht="15" hidden="false" customHeight="false" outlineLevel="0" collapsed="false">
      <c r="B16" s="21" t="s">
        <v>334</v>
      </c>
      <c r="D16" s="39" t="n">
        <f aca="false">D15/60</f>
        <v>7</v>
      </c>
      <c r="E16" s="39" t="n">
        <f aca="false">E15/60</f>
        <v>3.9</v>
      </c>
    </row>
    <row r="18" customFormat="false" ht="15" hidden="false" customHeight="false" outlineLevel="0" collapsed="false">
      <c r="B18" s="9" t="s">
        <v>335</v>
      </c>
      <c r="C18" s="11" t="s">
        <v>336</v>
      </c>
      <c r="D18" s="12" t="n">
        <v>40</v>
      </c>
      <c r="E18" s="12" t="n">
        <v>25</v>
      </c>
    </row>
    <row r="19" customFormat="false" ht="15" hidden="false" customHeight="false" outlineLevel="0" collapsed="false">
      <c r="B19" s="9" t="s">
        <v>337</v>
      </c>
      <c r="C19" s="11" t="s">
        <v>338</v>
      </c>
      <c r="D19" s="12" t="n">
        <v>45</v>
      </c>
      <c r="E19" s="12" t="n">
        <v>30</v>
      </c>
    </row>
    <row r="21" customFormat="false" ht="15" hidden="false" customHeight="false" outlineLevel="0" collapsed="false">
      <c r="A21" s="15" t="s">
        <v>339</v>
      </c>
      <c r="B21" s="16"/>
      <c r="C21" s="16"/>
      <c r="D21" s="16"/>
      <c r="E21" s="16"/>
      <c r="F21" s="16"/>
      <c r="G21" s="16"/>
    </row>
    <row r="22" customFormat="false" ht="15" hidden="false" customHeight="false" outlineLevel="0" collapsed="false">
      <c r="B22" s="11" t="s">
        <v>340</v>
      </c>
      <c r="D22" s="26" t="n">
        <f aca="false">ThongSo!$B$16*60</f>
        <v>420</v>
      </c>
      <c r="E22" s="26" t="n">
        <f aca="false">ThongSo!$B$16*60</f>
        <v>420</v>
      </c>
    </row>
    <row r="23" customFormat="false" ht="15" hidden="false" customHeight="false" outlineLevel="0" collapsed="false">
      <c r="B23" s="11" t="s">
        <v>341</v>
      </c>
      <c r="D23" s="40" t="n">
        <f aca="false">D22/(D15+D18)</f>
        <v>0.91304347826087</v>
      </c>
      <c r="E23" s="40" t="n">
        <f aca="false">E22/(E15+E18)</f>
        <v>1.62162162162162</v>
      </c>
    </row>
    <row r="25" customFormat="false" ht="15" hidden="false" customHeight="false" outlineLevel="0" collapsed="false">
      <c r="A25" s="15" t="s">
        <v>342</v>
      </c>
      <c r="B25" s="16"/>
      <c r="C25" s="16"/>
      <c r="D25" s="16"/>
      <c r="E25" s="16"/>
      <c r="F25" s="16"/>
      <c r="G25" s="16"/>
    </row>
    <row r="26" customFormat="false" ht="26.85" hidden="false" customHeight="false" outlineLevel="0" collapsed="false">
      <c r="A26" s="8"/>
      <c r="B26" s="8" t="s">
        <v>343</v>
      </c>
      <c r="C26" s="8" t="s">
        <v>344</v>
      </c>
      <c r="D26" s="8" t="s">
        <v>345</v>
      </c>
      <c r="E26" s="8" t="s">
        <v>346</v>
      </c>
      <c r="F26" s="8" t="s">
        <v>347</v>
      </c>
      <c r="G26" s="8" t="s">
        <v>348</v>
      </c>
    </row>
    <row r="27" customFormat="false" ht="15" hidden="false" customHeight="false" outlineLevel="0" collapsed="false">
      <c r="B27" s="30" t="s">
        <v>349</v>
      </c>
      <c r="C27" s="13" t="n">
        <v>0.5</v>
      </c>
      <c r="D27" s="28" t="n">
        <f aca="false">C27*ThongSo!$B$10</f>
        <v>2.5</v>
      </c>
      <c r="E27" s="13" t="n">
        <v>0</v>
      </c>
      <c r="F27" s="29" t="n">
        <f aca="false">C27*(D$15+D$18)+E27*D$19</f>
        <v>230</v>
      </c>
      <c r="G27" s="41" t="n">
        <f aca="false">F27/$D$22</f>
        <v>0.547619047619048</v>
      </c>
    </row>
    <row r="28" customFormat="false" ht="15" hidden="false" customHeight="false" outlineLevel="0" collapsed="false">
      <c r="B28" s="30" t="s">
        <v>350</v>
      </c>
      <c r="C28" s="13" t="n">
        <v>1</v>
      </c>
      <c r="D28" s="28" t="n">
        <f aca="false">C28*ThongSo!$B$10</f>
        <v>5</v>
      </c>
      <c r="E28" s="13" t="n">
        <v>1</v>
      </c>
      <c r="F28" s="29" t="n">
        <f aca="false">C28*(E$15+E$18)+E28*E$19</f>
        <v>289</v>
      </c>
      <c r="G28" s="41" t="n">
        <f aca="false">F28/$D$22</f>
        <v>0.688095238095238</v>
      </c>
    </row>
    <row r="29" customFormat="false" ht="15" hidden="false" customHeight="false" outlineLevel="0" collapsed="false">
      <c r="B29" s="30" t="s">
        <v>351</v>
      </c>
      <c r="C29" s="13" t="n">
        <v>1.5</v>
      </c>
      <c r="D29" s="28" t="n">
        <f aca="false">C29*ThongSo!$B$10</f>
        <v>7.5</v>
      </c>
      <c r="E29" s="13" t="n">
        <v>0</v>
      </c>
      <c r="F29" s="29" t="n">
        <f aca="false">C29*(E$15+E$18)+E29*E$19</f>
        <v>388.5</v>
      </c>
      <c r="G29" s="41" t="n">
        <f aca="false">F29/$D$22</f>
        <v>0.925</v>
      </c>
    </row>
    <row r="31" customFormat="false" ht="15" hidden="false" customHeight="false" outlineLevel="0" collapsed="false">
      <c r="A31" s="15" t="s">
        <v>352</v>
      </c>
      <c r="B31" s="16"/>
      <c r="C31" s="16"/>
      <c r="D31" s="16"/>
      <c r="E31" s="16"/>
      <c r="F31" s="16"/>
      <c r="G31" s="16"/>
    </row>
    <row r="32" customFormat="false" ht="15" hidden="false" customHeight="false" outlineLevel="0" collapsed="false">
      <c r="A32" s="8"/>
      <c r="B32" s="8" t="s">
        <v>353</v>
      </c>
      <c r="C32" s="8" t="s">
        <v>354</v>
      </c>
      <c r="D32" s="8" t="s">
        <v>355</v>
      </c>
      <c r="E32" s="8" t="s">
        <v>356</v>
      </c>
      <c r="F32" s="8" t="s">
        <v>77</v>
      </c>
    </row>
    <row r="33" customFormat="false" ht="26.85" hidden="false" customHeight="false" outlineLevel="0" collapsed="false">
      <c r="B33" s="9" t="s">
        <v>357</v>
      </c>
      <c r="C33" s="9" t="s">
        <v>358</v>
      </c>
      <c r="D33" s="9" t="s">
        <v>359</v>
      </c>
      <c r="E33" s="9" t="s">
        <v>360</v>
      </c>
      <c r="F33" s="9" t="s">
        <v>361</v>
      </c>
    </row>
    <row r="34" customFormat="false" ht="26.85" hidden="false" customHeight="false" outlineLevel="0" collapsed="false">
      <c r="B34" s="9" t="s">
        <v>357</v>
      </c>
      <c r="C34" s="9" t="s">
        <v>362</v>
      </c>
      <c r="D34" s="9" t="s">
        <v>360</v>
      </c>
      <c r="E34" s="9" t="s">
        <v>363</v>
      </c>
      <c r="F34" s="9" t="s">
        <v>364</v>
      </c>
    </row>
    <row r="35" customFormat="false" ht="26.85" hidden="false" customHeight="false" outlineLevel="0" collapsed="false">
      <c r="B35" s="9" t="s">
        <v>365</v>
      </c>
      <c r="C35" s="9" t="s">
        <v>366</v>
      </c>
      <c r="D35" s="9" t="s">
        <v>360</v>
      </c>
      <c r="E35" s="9" t="s">
        <v>367</v>
      </c>
      <c r="F35" s="9" t="s">
        <v>368</v>
      </c>
    </row>
    <row r="36" customFormat="false" ht="26.85" hidden="false" customHeight="false" outlineLevel="0" collapsed="false">
      <c r="B36" s="9" t="s">
        <v>369</v>
      </c>
      <c r="C36" s="9" t="s">
        <v>370</v>
      </c>
      <c r="D36" s="9" t="s">
        <v>360</v>
      </c>
      <c r="E36" s="9" t="s">
        <v>371</v>
      </c>
      <c r="F36" s="9" t="s">
        <v>372</v>
      </c>
    </row>
    <row r="38" customFormat="false" ht="15" hidden="false" customHeight="false" outlineLevel="0" collapsed="false">
      <c r="A38" s="15" t="s">
        <v>373</v>
      </c>
      <c r="B38" s="16"/>
      <c r="C38" s="16"/>
      <c r="D38" s="16"/>
      <c r="E38" s="16"/>
      <c r="F38" s="16"/>
      <c r="G38" s="16"/>
    </row>
    <row r="39" customFormat="false" ht="26.85" hidden="false" customHeight="false" outlineLevel="0" collapsed="false">
      <c r="A39" s="8"/>
      <c r="B39" s="8" t="s">
        <v>197</v>
      </c>
      <c r="C39" s="8" t="s">
        <v>374</v>
      </c>
      <c r="D39" s="8" t="s">
        <v>375</v>
      </c>
      <c r="E39" s="8" t="s">
        <v>376</v>
      </c>
      <c r="F39" s="8" t="s">
        <v>377</v>
      </c>
      <c r="G39" s="8" t="s">
        <v>77</v>
      </c>
    </row>
    <row r="40" customFormat="false" ht="26.85" hidden="false" customHeight="false" outlineLevel="0" collapsed="false">
      <c r="B40" s="9" t="s">
        <v>378</v>
      </c>
      <c r="C40" s="29" t="n">
        <f aca="false">SUM(D5:D8)</f>
        <v>170</v>
      </c>
      <c r="D40" s="29" t="n">
        <f aca="false">SUM(E5:E8)</f>
        <v>100</v>
      </c>
      <c r="E40" s="29" t="n">
        <f aca="false">C40</f>
        <v>170</v>
      </c>
      <c r="F40" s="29" t="n">
        <f aca="false">D40</f>
        <v>100</v>
      </c>
      <c r="G40" s="9" t="s">
        <v>379</v>
      </c>
    </row>
    <row r="41" customFormat="false" ht="39.55" hidden="false" customHeight="false" outlineLevel="0" collapsed="false">
      <c r="B41" s="9" t="s">
        <v>380</v>
      </c>
      <c r="C41" s="29" t="n">
        <f aca="false">SUM(D9:D12)</f>
        <v>200</v>
      </c>
      <c r="D41" s="29" t="n">
        <f aca="false">SUM(E9:E12)</f>
        <v>107</v>
      </c>
      <c r="E41" s="12" t="n">
        <v>110</v>
      </c>
      <c r="F41" s="12" t="n">
        <v>60</v>
      </c>
      <c r="G41" s="9" t="s">
        <v>381</v>
      </c>
    </row>
    <row r="42" customFormat="false" ht="15" hidden="false" customHeight="false" outlineLevel="0" collapsed="false">
      <c r="B42" s="9" t="s">
        <v>382</v>
      </c>
      <c r="C42" s="29" t="n">
        <f aca="false">SUM(D13:D14)</f>
        <v>50</v>
      </c>
      <c r="D42" s="29" t="n">
        <f aca="false">SUM(E13:E14)</f>
        <v>27</v>
      </c>
      <c r="E42" s="29" t="n">
        <f aca="false">C42</f>
        <v>50</v>
      </c>
      <c r="F42" s="29" t="n">
        <f aca="false">D42</f>
        <v>27</v>
      </c>
      <c r="G42" s="9" t="s">
        <v>383</v>
      </c>
    </row>
    <row r="43" customFormat="false" ht="15" hidden="false" customHeight="false" outlineLevel="0" collapsed="false">
      <c r="B43" s="30" t="s">
        <v>333</v>
      </c>
      <c r="C43" s="38" t="n">
        <f aca="false">SUM(C40:C42)</f>
        <v>420</v>
      </c>
      <c r="D43" s="38" t="n">
        <f aca="false">SUM(D40:D42)</f>
        <v>234</v>
      </c>
      <c r="E43" s="38" t="n">
        <f aca="false">SUM(E40:E42)</f>
        <v>330</v>
      </c>
      <c r="F43" s="38" t="n">
        <f aca="false">SUM(F40:F42)</f>
        <v>187</v>
      </c>
      <c r="G43" s="9"/>
    </row>
    <row r="44" customFormat="false" ht="15" hidden="false" customHeight="false" outlineLevel="0" collapsed="false">
      <c r="B44" s="9" t="s">
        <v>384</v>
      </c>
      <c r="C44" s="29" t="n">
        <f aca="false">D18</f>
        <v>40</v>
      </c>
      <c r="D44" s="29" t="n">
        <f aca="false">E18</f>
        <v>25</v>
      </c>
      <c r="E44" s="29" t="n">
        <f aca="false">C44</f>
        <v>40</v>
      </c>
      <c r="F44" s="29" t="n">
        <f aca="false">D44</f>
        <v>25</v>
      </c>
      <c r="G44" s="9" t="s">
        <v>385</v>
      </c>
    </row>
    <row r="45" customFormat="false" ht="15" hidden="false" customHeight="false" outlineLevel="0" collapsed="false">
      <c r="B45" s="30" t="s">
        <v>386</v>
      </c>
      <c r="C45" s="40" t="n">
        <f aca="false">$D$22/(C43+C44)</f>
        <v>0.91304347826087</v>
      </c>
      <c r="D45" s="40" t="n">
        <f aca="false">$D$22/(D43+D44)</f>
        <v>1.62162162162162</v>
      </c>
      <c r="E45" s="40" t="n">
        <f aca="false">$D$22/(E43+E44)</f>
        <v>1.13513513513514</v>
      </c>
      <c r="F45" s="40" t="n">
        <f aca="false">$D$22/(F43+F44)</f>
        <v>1.9811320754717</v>
      </c>
      <c r="G45" s="9"/>
    </row>
    <row r="47" customFormat="false" ht="15" hidden="false" customHeight="false" outlineLevel="0" collapsed="false">
      <c r="B47" s="21" t="s">
        <v>387</v>
      </c>
      <c r="E47" s="21" t="s">
        <v>388</v>
      </c>
      <c r="F47" s="21" t="s">
        <v>389</v>
      </c>
    </row>
    <row r="48" customFormat="false" ht="15" hidden="false" customHeight="false" outlineLevel="0" collapsed="false">
      <c r="B48" s="9" t="s">
        <v>390</v>
      </c>
      <c r="E48" s="29" t="n">
        <f aca="false">C43-E43</f>
        <v>90</v>
      </c>
      <c r="F48" s="29" t="n">
        <f aca="false">D43-F43</f>
        <v>47</v>
      </c>
      <c r="G48" s="9"/>
    </row>
    <row r="49" customFormat="false" ht="15" hidden="false" customHeight="false" outlineLevel="0" collapsed="false">
      <c r="B49" s="9" t="s">
        <v>391</v>
      </c>
      <c r="E49" s="41" t="n">
        <f aca="false">IF(C43&gt;0,E48/C43,0)</f>
        <v>0.214285714285714</v>
      </c>
      <c r="F49" s="41" t="n">
        <f aca="false">IF(D43&gt;0,F48/D43,0)</f>
        <v>0.200854700854701</v>
      </c>
      <c r="G49" s="9"/>
    </row>
    <row r="50" customFormat="false" ht="15" hidden="false" customHeight="false" outlineLevel="0" collapsed="false">
      <c r="B50" s="9" t="s">
        <v>392</v>
      </c>
      <c r="E50" s="28" t="n">
        <f aca="false">E48*ChiPhiVideo!$C$42/60</f>
        <v>18</v>
      </c>
      <c r="F50" s="28" t="n">
        <f aca="false">F48*ChiPhiVideo!$C$42/60</f>
        <v>9.4</v>
      </c>
      <c r="G50" s="9"/>
    </row>
    <row r="51" customFormat="false" ht="26.85" hidden="false" customHeight="false" outlineLevel="0" collapsed="false">
      <c r="B51" s="9" t="s">
        <v>393</v>
      </c>
      <c r="E51" s="37" t="n">
        <f aca="false">ChiPhiVideo!$C$77</f>
        <v>5331376</v>
      </c>
      <c r="F51" s="37" t="n">
        <f aca="false">ChiPhiVideo!$C$77</f>
        <v>5331376</v>
      </c>
      <c r="G51" s="9" t="s">
        <v>394</v>
      </c>
    </row>
    <row r="52" customFormat="false" ht="15" hidden="false" customHeight="false" outlineLevel="0" collapsed="false">
      <c r="B52" s="9" t="s">
        <v>395</v>
      </c>
      <c r="E52" s="37" t="n">
        <f aca="false">ChiPhiVideo!$D$77</f>
        <v>12623752</v>
      </c>
      <c r="F52" s="37" t="n">
        <f aca="false">ChiPhiVideo!$D$77</f>
        <v>12623752</v>
      </c>
      <c r="G52" s="9"/>
    </row>
    <row r="53" customFormat="false" ht="15" hidden="false" customHeight="false" outlineLevel="0" collapsed="false">
      <c r="B53" s="30" t="s">
        <v>396</v>
      </c>
      <c r="E53" s="42" t="n">
        <f aca="false">IF(E50&gt;0,E51/E50,0)</f>
        <v>296187.555555556</v>
      </c>
      <c r="F53" s="42" t="n">
        <f aca="false">IF(F50&gt;0,F51/F50,0)</f>
        <v>567167.659574468</v>
      </c>
      <c r="G53" s="9"/>
    </row>
    <row r="54" customFormat="false" ht="15" hidden="false" customHeight="false" outlineLevel="0" collapsed="false">
      <c r="B54" s="30" t="s">
        <v>397</v>
      </c>
      <c r="E54" s="42" t="n">
        <f aca="false">IF(E50&gt;0,E52/E50,0)</f>
        <v>701319.555555556</v>
      </c>
      <c r="F54" s="42" t="n">
        <f aca="false">IF(F50&gt;0,F52/F50,0)</f>
        <v>1342952.34042553</v>
      </c>
      <c r="G54" s="9"/>
    </row>
    <row r="55" customFormat="false" ht="15" hidden="false" customHeight="false" outlineLevel="0" collapsed="false">
      <c r="B55" s="30" t="s">
        <v>398</v>
      </c>
      <c r="E55" s="42" t="n">
        <f aca="false">DoanhThu!$B$12/(ThongSo!$B$15*ThongSo!$B$16)</f>
        <v>97402.5974025974</v>
      </c>
      <c r="F55" s="42" t="n">
        <f aca="false">DoanhThu!$B$12/(ThongSo!$B$15*ThongSo!$B$16)</f>
        <v>97402.5974025974</v>
      </c>
      <c r="G55" s="9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26.85" hidden="false" customHeight="false" outlineLevel="0" collapsed="false">
      <c r="A4" s="8" t="s">
        <v>35</v>
      </c>
      <c r="B4" s="8" t="s">
        <v>36</v>
      </c>
      <c r="C4" s="8" t="s">
        <v>37</v>
      </c>
      <c r="D4" s="8" t="s">
        <v>38</v>
      </c>
    </row>
    <row r="5" customFormat="false" ht="77.6" hidden="false" customHeight="false" outlineLevel="0" collapsed="false">
      <c r="A5" s="9" t="s">
        <v>402</v>
      </c>
      <c r="B5" s="43" t="n">
        <v>10</v>
      </c>
      <c r="C5" s="11" t="s">
        <v>68</v>
      </c>
      <c r="D5" s="9" t="s">
        <v>403</v>
      </c>
    </row>
    <row r="6" customFormat="false" ht="77.6" hidden="false" customHeight="false" outlineLevel="0" collapsed="false">
      <c r="A6" s="9" t="s">
        <v>404</v>
      </c>
      <c r="B6" s="43" t="n">
        <v>15</v>
      </c>
      <c r="C6" s="11" t="s">
        <v>68</v>
      </c>
      <c r="D6" s="9" t="s">
        <v>405</v>
      </c>
    </row>
    <row r="7" customFormat="false" ht="26.85" hidden="false" customHeight="false" outlineLevel="0" collapsed="false">
      <c r="A7" s="9" t="s">
        <v>406</v>
      </c>
      <c r="B7" s="18" t="n">
        <v>0.05</v>
      </c>
      <c r="C7" s="11" t="s">
        <v>68</v>
      </c>
      <c r="D7" s="9" t="s">
        <v>407</v>
      </c>
    </row>
    <row r="8" customFormat="false" ht="52.2" hidden="false" customHeight="false" outlineLevel="0" collapsed="false">
      <c r="A8" s="9" t="s">
        <v>408</v>
      </c>
      <c r="B8" s="10" t="n">
        <v>2000</v>
      </c>
      <c r="C8" s="11" t="s">
        <v>409</v>
      </c>
      <c r="D8" s="9" t="s">
        <v>410</v>
      </c>
    </row>
    <row r="9" customFormat="false" ht="26.85" hidden="false" customHeight="false" outlineLevel="0" collapsed="false">
      <c r="A9" s="9" t="s">
        <v>411</v>
      </c>
      <c r="B9" s="10" t="n">
        <v>2000</v>
      </c>
      <c r="C9" s="11" t="s">
        <v>409</v>
      </c>
      <c r="D9" s="9" t="s">
        <v>412</v>
      </c>
    </row>
    <row r="10" customFormat="false" ht="15" hidden="false" customHeight="false" outlineLevel="0" collapsed="false">
      <c r="A10" s="9" t="s">
        <v>413</v>
      </c>
      <c r="B10" s="12" t="n">
        <v>3000</v>
      </c>
      <c r="C10" s="11" t="s">
        <v>409</v>
      </c>
      <c r="D10" s="9"/>
    </row>
    <row r="11" customFormat="false" ht="15" hidden="false" customHeight="false" outlineLevel="0" collapsed="false">
      <c r="A11" s="9" t="s">
        <v>414</v>
      </c>
      <c r="B11" s="44" t="s">
        <v>237</v>
      </c>
      <c r="C11" s="11"/>
      <c r="D11" s="9"/>
    </row>
    <row r="12" customFormat="false" ht="39.55" hidden="false" customHeight="false" outlineLevel="0" collapsed="false">
      <c r="A12" s="9" t="s">
        <v>415</v>
      </c>
      <c r="B12" s="45" t="n">
        <v>15000000</v>
      </c>
      <c r="C12" s="11" t="s">
        <v>416</v>
      </c>
      <c r="D12" s="9" t="s">
        <v>417</v>
      </c>
    </row>
    <row r="13" customFormat="false" ht="15" hidden="false" customHeight="false" outlineLevel="0" collapsed="false">
      <c r="A13" s="9" t="s">
        <v>418</v>
      </c>
      <c r="B13" s="44" t="s">
        <v>419</v>
      </c>
      <c r="C13" s="11"/>
      <c r="D13" s="9" t="s">
        <v>420</v>
      </c>
    </row>
    <row r="14" customFormat="false" ht="15" hidden="false" customHeight="false" outlineLevel="0" collapsed="false">
      <c r="A14" s="9" t="s">
        <v>421</v>
      </c>
      <c r="B14" s="44" t="s">
        <v>419</v>
      </c>
      <c r="C14" s="11"/>
      <c r="D14" s="9" t="s">
        <v>420</v>
      </c>
    </row>
    <row r="16" customFormat="false" ht="15" hidden="false" customHeight="false" outlineLevel="0" collapsed="false">
      <c r="A16" s="15" t="s">
        <v>422</v>
      </c>
      <c r="B16" s="16"/>
      <c r="C16" s="16"/>
      <c r="D16" s="16"/>
      <c r="E16" s="16"/>
      <c r="F16" s="16"/>
      <c r="G16" s="16"/>
      <c r="H16" s="16"/>
    </row>
    <row r="17" customFormat="false" ht="39.55" hidden="false" customHeight="false" outlineLevel="0" collapsed="false">
      <c r="A17" s="8" t="s">
        <v>423</v>
      </c>
      <c r="B17" s="8" t="s">
        <v>424</v>
      </c>
      <c r="C17" s="8" t="s">
        <v>425</v>
      </c>
      <c r="D17" s="8" t="s">
        <v>426</v>
      </c>
      <c r="E17" s="8" t="s">
        <v>427</v>
      </c>
      <c r="F17" s="8" t="s">
        <v>428</v>
      </c>
      <c r="G17" s="8" t="s">
        <v>429</v>
      </c>
      <c r="H17" s="8" t="s">
        <v>77</v>
      </c>
    </row>
    <row r="18" customFormat="false" ht="26.85" hidden="false" customHeight="false" outlineLevel="0" collapsed="false">
      <c r="A18" s="11" t="s">
        <v>430</v>
      </c>
      <c r="B18" s="11" t="s">
        <v>236</v>
      </c>
      <c r="C18" s="17" t="n">
        <v>0.75</v>
      </c>
      <c r="D18" s="17" t="n">
        <v>0.02</v>
      </c>
      <c r="E18" s="17" t="n">
        <v>0.02</v>
      </c>
      <c r="F18" s="18" t="n">
        <v>40</v>
      </c>
      <c r="G18" s="22" t="n">
        <f aca="false">C18*1000*D18*E18*F18</f>
        <v>12</v>
      </c>
      <c r="H18" s="9" t="s">
        <v>431</v>
      </c>
    </row>
    <row r="19" customFormat="false" ht="15" hidden="false" customHeight="false" outlineLevel="0" collapsed="false">
      <c r="A19" s="11" t="s">
        <v>432</v>
      </c>
      <c r="B19" s="11" t="s">
        <v>236</v>
      </c>
      <c r="C19" s="17" t="n">
        <v>0.25</v>
      </c>
      <c r="D19" s="17" t="n">
        <v>0.03</v>
      </c>
      <c r="E19" s="17" t="n">
        <v>0.05</v>
      </c>
      <c r="F19" s="18" t="n">
        <v>2.4</v>
      </c>
      <c r="G19" s="22" t="n">
        <f aca="false">C19*1000*D19*E19*F19</f>
        <v>0.9</v>
      </c>
      <c r="H19" s="9" t="s">
        <v>433</v>
      </c>
    </row>
    <row r="20" customFormat="false" ht="26.85" hidden="false" customHeight="false" outlineLevel="0" collapsed="false">
      <c r="A20" s="11" t="s">
        <v>434</v>
      </c>
      <c r="B20" s="11" t="s">
        <v>237</v>
      </c>
      <c r="C20" s="17" t="n">
        <v>0.5</v>
      </c>
      <c r="D20" s="17" t="n">
        <v>0.015</v>
      </c>
      <c r="E20" s="17" t="n">
        <v>0.01</v>
      </c>
      <c r="F20" s="18" t="n">
        <v>400</v>
      </c>
      <c r="G20" s="22" t="n">
        <f aca="false">C20*1000*D20*E20*F20</f>
        <v>30</v>
      </c>
      <c r="H20" s="9" t="s">
        <v>435</v>
      </c>
    </row>
    <row r="21" customFormat="false" ht="26.85" hidden="false" customHeight="false" outlineLevel="0" collapsed="false">
      <c r="A21" s="11" t="s">
        <v>436</v>
      </c>
      <c r="B21" s="11" t="s">
        <v>237</v>
      </c>
      <c r="C21" s="17" t="n">
        <v>0.5</v>
      </c>
      <c r="D21" s="17" t="n">
        <v>0.015</v>
      </c>
      <c r="E21" s="17" t="n">
        <v>0.02</v>
      </c>
      <c r="F21" s="18" t="n">
        <v>75</v>
      </c>
      <c r="G21" s="22" t="n">
        <f aca="false">C21*1000*D21*E21*F21</f>
        <v>11.25</v>
      </c>
      <c r="H21" s="9" t="s">
        <v>437</v>
      </c>
    </row>
    <row r="22" customFormat="false" ht="15" hidden="false" customHeight="false" outlineLevel="0" collapsed="false">
      <c r="A22" s="21" t="s">
        <v>438</v>
      </c>
      <c r="G22" s="24" t="n">
        <f aca="false">SUMIFS(G18:G21,B18:B21,"A")</f>
        <v>12.9</v>
      </c>
    </row>
    <row r="23" customFormat="false" ht="15" hidden="false" customHeight="false" outlineLevel="0" collapsed="false">
      <c r="A23" s="21" t="s">
        <v>439</v>
      </c>
      <c r="G23" s="24" t="n">
        <f aca="false">SUMIFS(G18:G21,B18:B21,"B")</f>
        <v>41.25</v>
      </c>
    </row>
    <row r="24" customFormat="false" ht="15" hidden="false" customHeight="false" outlineLevel="0" collapsed="false">
      <c r="A24" s="11" t="s">
        <v>440</v>
      </c>
      <c r="G24" s="11" t="str">
        <f aca="false">IF(AND(ABS(SUMIFS(C18:C21,B18:B21,"A")-1)&lt;0.0001,ABS(SUMIFS(C18:C21,B18:B21,"B")-1)&lt;0.0001),"OK","SAI")</f>
        <v>OK</v>
      </c>
    </row>
    <row r="26" customFormat="false" ht="15" hidden="false" customHeight="false" outlineLevel="0" collapsed="false">
      <c r="A26" s="15" t="s">
        <v>441</v>
      </c>
      <c r="B26" s="16"/>
      <c r="C26" s="16"/>
      <c r="D26" s="16"/>
      <c r="E26" s="16"/>
      <c r="F26" s="16"/>
      <c r="G26" s="16"/>
      <c r="H26" s="16"/>
    </row>
    <row r="27" customFormat="false" ht="15" hidden="false" customHeight="false" outlineLevel="0" collapsed="false">
      <c r="A27" s="9" t="s">
        <v>442</v>
      </c>
      <c r="B27" s="23" t="n">
        <f aca="false">INDEX(ChiPhiVideo!$B$56:$D$56,MATCH($B$11,ChiPhiVideo!$B$38:$D$38,0))</f>
        <v>761.189</v>
      </c>
    </row>
    <row r="28" customFormat="false" ht="15" hidden="false" customHeight="false" outlineLevel="0" collapsed="false">
      <c r="A28" s="9" t="s">
        <v>443</v>
      </c>
      <c r="B28" s="23" t="n">
        <f aca="false">B12/ThongSo!$B$5</f>
        <v>566.037735849057</v>
      </c>
    </row>
    <row r="29" customFormat="false" ht="15" hidden="false" customHeight="false" outlineLevel="0" collapsed="false">
      <c r="A29" s="30" t="s">
        <v>444</v>
      </c>
      <c r="B29" s="24" t="n">
        <f aca="false">B27+B28</f>
        <v>1327.22673584906</v>
      </c>
    </row>
    <row r="30" customFormat="false" ht="15" hidden="false" customHeight="false" outlineLevel="0" collapsed="false">
      <c r="A30" s="9" t="s">
        <v>247</v>
      </c>
      <c r="B30" s="26" t="n">
        <f aca="false">INDEX(ChiPhiVideo!$B$42:$D$42,MATCH($B$11,ChiPhiVideo!$B$38:$D$38,0))</f>
        <v>12</v>
      </c>
    </row>
    <row r="31" customFormat="false" ht="15" hidden="false" customHeight="false" outlineLevel="0" collapsed="false">
      <c r="A31" s="9" t="s">
        <v>248</v>
      </c>
      <c r="B31" s="26" t="n">
        <f aca="false">INDEX(ChiPhiVideo!$B$43:$D$43,MATCH($B$11,ChiPhiVideo!$B$38:$D$38,0))</f>
        <v>8</v>
      </c>
    </row>
    <row r="32" customFormat="false" ht="15" hidden="false" customHeight="false" outlineLevel="0" collapsed="false">
      <c r="A32" s="9" t="s">
        <v>445</v>
      </c>
      <c r="B32" s="26" t="n">
        <f aca="false">INDEX(ChiPhiVideo!$B$44:$D$44,MATCH($B$11,ChiPhiVideo!$B$38:$D$38,0))+INDEX(ChiPhiVideo!$B$45:$D$45,MATCH($B$11,ChiPhiVideo!$B$38:$D$38,0))</f>
        <v>120</v>
      </c>
    </row>
    <row r="33" customFormat="false" ht="26.85" hidden="false" customHeight="false" outlineLevel="0" collapsed="false">
      <c r="A33" s="9" t="s">
        <v>446</v>
      </c>
      <c r="B33" s="22" t="n">
        <f aca="false">G22+IF(B13="Có",B5,0)</f>
        <v>12.9</v>
      </c>
    </row>
    <row r="34" customFormat="false" ht="15" hidden="false" customHeight="false" outlineLevel="0" collapsed="false">
      <c r="A34" s="9" t="s">
        <v>447</v>
      </c>
      <c r="B34" s="22" t="n">
        <f aca="false">G23+IF(B14="Có",B6,0)</f>
        <v>41.25</v>
      </c>
    </row>
    <row r="35" customFormat="false" ht="15" hidden="false" customHeight="false" outlineLevel="0" collapsed="false">
      <c r="A35" s="9" t="s">
        <v>448</v>
      </c>
      <c r="B35" s="22" t="n">
        <f aca="false">B30*B8*B33/1000</f>
        <v>309.6</v>
      </c>
    </row>
    <row r="36" customFormat="false" ht="15" hidden="false" customHeight="false" outlineLevel="0" collapsed="false">
      <c r="A36" s="9" t="s">
        <v>449</v>
      </c>
      <c r="B36" s="22" t="n">
        <f aca="false">B31*B9*B34/1000</f>
        <v>660</v>
      </c>
    </row>
    <row r="37" customFormat="false" ht="15" hidden="false" customHeight="false" outlineLevel="0" collapsed="false">
      <c r="A37" s="9" t="s">
        <v>450</v>
      </c>
      <c r="B37" s="22" t="n">
        <f aca="false">IF(B13="Có",B32*B10*B7/1000,0)</f>
        <v>0</v>
      </c>
    </row>
    <row r="38" customFormat="false" ht="15" hidden="false" customHeight="false" outlineLevel="0" collapsed="false">
      <c r="A38" s="30" t="s">
        <v>451</v>
      </c>
      <c r="B38" s="24" t="n">
        <f aca="false">B35+B36+B37</f>
        <v>969.6</v>
      </c>
    </row>
    <row r="39" customFormat="false" ht="15" hidden="false" customHeight="false" outlineLevel="0" collapsed="false">
      <c r="A39" s="30" t="s">
        <v>452</v>
      </c>
      <c r="B39" s="24" t="n">
        <f aca="false">B38-B29</f>
        <v>-357.626735849057</v>
      </c>
    </row>
    <row r="40" customFormat="false" ht="15" hidden="false" customHeight="false" outlineLevel="0" collapsed="false">
      <c r="A40" s="30" t="s">
        <v>453</v>
      </c>
      <c r="B40" s="42" t="n">
        <f aca="false">B39*ThongSo!$B$5</f>
        <v>-9477108.5</v>
      </c>
    </row>
    <row r="41" customFormat="false" ht="15" hidden="false" customHeight="false" outlineLevel="0" collapsed="false">
      <c r="A41" s="30" t="s">
        <v>454</v>
      </c>
      <c r="B41" s="38" t="n">
        <f aca="false">IF((B30*B33+B31*B34)&gt;0,MAX(0,B27-B37)/((B30*B33+B31*B34)/1000),0)</f>
        <v>1570.10932343234</v>
      </c>
    </row>
    <row r="42" customFormat="false" ht="26.85" hidden="false" customHeight="false" outlineLevel="0" collapsed="false">
      <c r="A42" s="30" t="s">
        <v>455</v>
      </c>
      <c r="B42" s="38" t="n">
        <f aca="false">IF((B30*B33+B31*B34)&gt;0,MAX(0,B29-B37)/((B30*B33+B31*B34)/1000),0)</f>
        <v>2737.67891057974</v>
      </c>
    </row>
    <row r="44" customFormat="false" ht="15" hidden="false" customHeight="false" outlineLevel="0" collapsed="false">
      <c r="A44" s="15" t="s">
        <v>456</v>
      </c>
      <c r="B44" s="16"/>
      <c r="C44" s="16"/>
      <c r="D44" s="16"/>
      <c r="E44" s="16"/>
      <c r="F44" s="16"/>
      <c r="G44" s="16"/>
      <c r="H44" s="16"/>
    </row>
    <row r="45" customFormat="false" ht="128.35" hidden="false" customHeight="false" outlineLevel="0" collapsed="false">
      <c r="A45" s="9" t="s">
        <v>457</v>
      </c>
      <c r="B45" s="46" t="n">
        <v>46418</v>
      </c>
      <c r="C45" s="11" t="s">
        <v>61</v>
      </c>
      <c r="D45" s="9" t="s">
        <v>458</v>
      </c>
    </row>
    <row r="46" customFormat="false" ht="15" hidden="false" customHeight="false" outlineLevel="0" collapsed="false">
      <c r="A46" s="9" t="s">
        <v>459</v>
      </c>
      <c r="B46" s="46" t="n">
        <v>46317</v>
      </c>
      <c r="C46" s="11" t="s">
        <v>61</v>
      </c>
      <c r="D46" s="9"/>
    </row>
    <row r="47" customFormat="false" ht="26.85" hidden="false" customHeight="false" outlineLevel="0" collapsed="false">
      <c r="A47" s="9" t="s">
        <v>460</v>
      </c>
      <c r="B47" s="20" t="n">
        <v>3</v>
      </c>
      <c r="C47" s="11" t="s">
        <v>461</v>
      </c>
      <c r="D47" s="9" t="s">
        <v>462</v>
      </c>
    </row>
    <row r="48" customFormat="false" ht="26.85" hidden="false" customHeight="false" outlineLevel="0" collapsed="false">
      <c r="A48" s="9" t="s">
        <v>463</v>
      </c>
      <c r="B48" s="20" t="n">
        <v>5.4</v>
      </c>
      <c r="C48" s="11" t="s">
        <v>464</v>
      </c>
      <c r="D48" s="9" t="s">
        <v>465</v>
      </c>
    </row>
    <row r="49" customFormat="false" ht="26.85" hidden="false" customHeight="false" outlineLevel="0" collapsed="false">
      <c r="A49" s="9" t="s">
        <v>466</v>
      </c>
      <c r="B49" s="12" t="n">
        <v>4000</v>
      </c>
      <c r="C49" s="11" t="s">
        <v>63</v>
      </c>
      <c r="D49" s="9" t="s">
        <v>467</v>
      </c>
    </row>
    <row r="50" customFormat="false" ht="15" hidden="false" customHeight="false" outlineLevel="0" collapsed="false">
      <c r="A50" s="30" t="s">
        <v>468</v>
      </c>
      <c r="B50" s="39" t="n">
        <f aca="false">(B45-B46)/7</f>
        <v>14.4285714285714</v>
      </c>
    </row>
    <row r="51" customFormat="false" ht="15" hidden="false" customHeight="false" outlineLevel="0" collapsed="false">
      <c r="A51" s="30" t="s">
        <v>469</v>
      </c>
      <c r="B51" s="38" t="n">
        <f aca="false">ROUNDDOWN(B50*B47,0)</f>
        <v>43</v>
      </c>
    </row>
    <row r="52" customFormat="false" ht="15" hidden="false" customHeight="false" outlineLevel="0" collapsed="false">
      <c r="A52" s="30" t="s">
        <v>470</v>
      </c>
      <c r="B52" s="38" t="n">
        <f aca="false">B49*60/B48</f>
        <v>44444.4444444444</v>
      </c>
    </row>
    <row r="53" customFormat="false" ht="15" hidden="false" customHeight="false" outlineLevel="0" collapsed="false">
      <c r="A53" s="30" t="s">
        <v>471</v>
      </c>
      <c r="B53" s="38" t="n">
        <f aca="false">IF(B51&gt;0,B52/B51,0)</f>
        <v>1033.59173126615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56"/>
  </cols>
  <sheetData>
    <row r="1" customFormat="false" ht="17.35" hidden="false" customHeight="false" outlineLevel="0" collapsed="false">
      <c r="A1" s="1" t="s">
        <v>472</v>
      </c>
    </row>
    <row r="2" customFormat="false" ht="15" hidden="false" customHeight="false" outlineLevel="0" collapsed="false">
      <c r="A2" s="2" t="s">
        <v>473</v>
      </c>
    </row>
    <row r="4" customFormat="false" ht="15" hidden="false" customHeight="false" outlineLevel="0" collapsed="false">
      <c r="A4" s="21" t="s">
        <v>474</v>
      </c>
      <c r="B4" s="10" t="n">
        <v>12</v>
      </c>
    </row>
    <row r="5" customFormat="false" ht="15" hidden="false" customHeight="false" outlineLevel="0" collapsed="false">
      <c r="A5" s="21" t="s">
        <v>475</v>
      </c>
      <c r="B5" s="12" t="n">
        <v>6</v>
      </c>
    </row>
    <row r="7" customFormat="false" ht="26.85" hidden="false" customHeight="false" outlineLevel="0" collapsed="false">
      <c r="A7" s="8" t="s">
        <v>476</v>
      </c>
      <c r="B7" s="8" t="s">
        <v>354</v>
      </c>
      <c r="C7" s="8" t="s">
        <v>477</v>
      </c>
      <c r="D7" s="8" t="s">
        <v>478</v>
      </c>
      <c r="E7" s="8" t="s">
        <v>479</v>
      </c>
      <c r="F7" s="8" t="s">
        <v>480</v>
      </c>
      <c r="G7" s="8" t="s">
        <v>481</v>
      </c>
    </row>
    <row r="8" customFormat="false" ht="15" hidden="false" customHeight="false" outlineLevel="0" collapsed="false">
      <c r="A8" s="11" t="s">
        <v>482</v>
      </c>
      <c r="B8" s="11" t="s">
        <v>483</v>
      </c>
      <c r="C8" s="47" t="n">
        <v>0.0833333333333333</v>
      </c>
      <c r="D8" s="48" t="n">
        <f aca="false">MOD(C8-$B$4/24,1)</f>
        <v>0.583333333333333</v>
      </c>
      <c r="E8" s="48" t="n">
        <f aca="false">MOD(C8-$B$5/24,1)</f>
        <v>0.83333333333331</v>
      </c>
      <c r="F8" s="11" t="s">
        <v>484</v>
      </c>
      <c r="G8" s="9" t="s">
        <v>485</v>
      </c>
    </row>
    <row r="9" customFormat="false" ht="15" hidden="false" customHeight="false" outlineLevel="0" collapsed="false">
      <c r="A9" s="11" t="s">
        <v>486</v>
      </c>
      <c r="B9" s="11" t="s">
        <v>483</v>
      </c>
      <c r="C9" s="47" t="n">
        <v>0.125</v>
      </c>
      <c r="D9" s="48" t="n">
        <f aca="false">MOD(C9-$B$4/24,1)</f>
        <v>0.625</v>
      </c>
      <c r="E9" s="48" t="n">
        <f aca="false">MOD(C9-$B$5/24,1)</f>
        <v>0.875</v>
      </c>
      <c r="F9" s="11" t="s">
        <v>487</v>
      </c>
      <c r="G9" s="9" t="s">
        <v>488</v>
      </c>
    </row>
    <row r="10" customFormat="false" ht="15" hidden="false" customHeight="false" outlineLevel="0" collapsed="false">
      <c r="A10" s="11" t="s">
        <v>482</v>
      </c>
      <c r="B10" s="11" t="s">
        <v>489</v>
      </c>
      <c r="C10" s="47" t="n">
        <v>0.875</v>
      </c>
      <c r="D10" s="48" t="n">
        <f aca="false">MOD(C10-$B$4/24,1)</f>
        <v>0.375</v>
      </c>
      <c r="E10" s="48" t="n">
        <f aca="false">MOD(C10-$B$5/24,1)</f>
        <v>0.625</v>
      </c>
      <c r="F10" s="11" t="s">
        <v>490</v>
      </c>
      <c r="G10" s="9" t="s">
        <v>491</v>
      </c>
    </row>
    <row r="11" customFormat="false" ht="15" hidden="false" customHeight="false" outlineLevel="0" collapsed="false">
      <c r="A11" s="11" t="s">
        <v>482</v>
      </c>
      <c r="B11" s="11" t="s">
        <v>492</v>
      </c>
      <c r="C11" s="47" t="n">
        <v>0.0416666666666667</v>
      </c>
      <c r="D11" s="48" t="n">
        <f aca="false">MOD(C11-$B$4/24,1)</f>
        <v>0.541666666666667</v>
      </c>
      <c r="E11" s="48" t="n">
        <f aca="false">MOD(C11-$B$5/24,1)</f>
        <v>0.791666666666667</v>
      </c>
      <c r="F11" s="11" t="s">
        <v>490</v>
      </c>
      <c r="G11" s="9" t="s">
        <v>493</v>
      </c>
    </row>
    <row r="12" customFormat="false" ht="15" hidden="false" customHeight="false" outlineLevel="0" collapsed="false">
      <c r="A12" s="11" t="s">
        <v>486</v>
      </c>
      <c r="B12" s="11" t="s">
        <v>489</v>
      </c>
      <c r="C12" s="47" t="n">
        <v>0.958333333333333</v>
      </c>
      <c r="D12" s="48" t="n">
        <f aca="false">MOD(C12-$B$4/24,1)</f>
        <v>0.458333333333333</v>
      </c>
      <c r="E12" s="48" t="n">
        <f aca="false">MOD(C12-$B$5/24,1)</f>
        <v>0.708333333333333</v>
      </c>
      <c r="F12" s="11" t="s">
        <v>490</v>
      </c>
      <c r="G12" s="9" t="s">
        <v>494</v>
      </c>
    </row>
    <row r="13" customFormat="false" ht="15" hidden="false" customHeight="false" outlineLevel="0" collapsed="false">
      <c r="A13" s="11" t="s">
        <v>486</v>
      </c>
      <c r="B13" s="11" t="s">
        <v>492</v>
      </c>
      <c r="C13" s="47" t="n">
        <v>0.291666666666667</v>
      </c>
      <c r="D13" s="48" t="n">
        <f aca="false">MOD(C13-$B$4/24,1)</f>
        <v>0.791666666666667</v>
      </c>
      <c r="E13" s="48" t="n">
        <f aca="false">MOD(C13-$B$5/24,1)</f>
        <v>0.0416666666666667</v>
      </c>
      <c r="F13" s="11" t="s">
        <v>490</v>
      </c>
      <c r="G13" s="9" t="s">
        <v>495</v>
      </c>
    </row>
    <row r="14" customFormat="false" ht="15" hidden="false" customHeight="false" outlineLevel="0" collapsed="false">
      <c r="A14" s="11" t="s">
        <v>496</v>
      </c>
      <c r="B14" s="11" t="s">
        <v>497</v>
      </c>
      <c r="C14" s="47" t="n">
        <v>0.25</v>
      </c>
      <c r="D14" s="48" t="n">
        <f aca="false">MOD(C14-$B$4/24,1)</f>
        <v>0.75</v>
      </c>
      <c r="E14" s="48" t="n">
        <f aca="false">MOD(C14-$B$5/24,1)</f>
        <v>0</v>
      </c>
      <c r="F14" s="11" t="s">
        <v>498</v>
      </c>
      <c r="G14" s="9" t="s">
        <v>499</v>
      </c>
    </row>
    <row r="15" customFormat="false" ht="15" hidden="false" customHeight="false" outlineLevel="0" collapsed="false">
      <c r="A15" s="11" t="s">
        <v>500</v>
      </c>
      <c r="B15" s="11" t="s">
        <v>370</v>
      </c>
      <c r="C15" s="47" t="n">
        <v>0</v>
      </c>
      <c r="D15" s="48" t="n">
        <f aca="false">MOD(C15-$B$4/24,1)</f>
        <v>0.5</v>
      </c>
      <c r="E15" s="48" t="n">
        <f aca="false">MOD(C15-$B$5/24,1)</f>
        <v>0.75</v>
      </c>
      <c r="F15" s="11" t="s">
        <v>360</v>
      </c>
      <c r="G15" s="9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28"/>
    <col collapsed="false" customWidth="true" hidden="false" outlineLevel="0" max="18" min="18" style="0" width="8"/>
    <col collapsed="false" customWidth="true" hidden="false" outlineLevel="0" max="20" min="19" style="0" width="28"/>
  </cols>
  <sheetData>
    <row r="1" customFormat="false" ht="17.35" hidden="false" customHeight="false" outlineLevel="0" collapsed="false">
      <c r="A1" s="1" t="s">
        <v>502</v>
      </c>
    </row>
    <row r="2" customFormat="false" ht="15" hidden="false" customHeight="false" outlineLevel="0" collapsed="false">
      <c r="A2" s="2" t="s">
        <v>503</v>
      </c>
    </row>
    <row r="4" customFormat="false" ht="39.55" hidden="false" customHeight="false" outlineLevel="0" collapsed="false">
      <c r="A4" s="8" t="s">
        <v>504</v>
      </c>
      <c r="B4" s="8" t="s">
        <v>424</v>
      </c>
      <c r="C4" s="8" t="s">
        <v>423</v>
      </c>
      <c r="D4" s="8" t="s">
        <v>505</v>
      </c>
      <c r="E4" s="8" t="s">
        <v>506</v>
      </c>
      <c r="F4" s="8" t="s">
        <v>507</v>
      </c>
      <c r="G4" s="8" t="s">
        <v>508</v>
      </c>
      <c r="H4" s="8" t="s">
        <v>343</v>
      </c>
      <c r="I4" s="8" t="s">
        <v>509</v>
      </c>
      <c r="J4" s="8" t="s">
        <v>510</v>
      </c>
      <c r="K4" s="8" t="s">
        <v>230</v>
      </c>
      <c r="L4" s="8" t="s">
        <v>511</v>
      </c>
      <c r="M4" s="8" t="s">
        <v>512</v>
      </c>
      <c r="N4" s="8" t="s">
        <v>513</v>
      </c>
      <c r="O4" s="8" t="s">
        <v>514</v>
      </c>
      <c r="P4" s="8" t="s">
        <v>515</v>
      </c>
      <c r="Q4" s="8" t="s">
        <v>516</v>
      </c>
      <c r="R4" s="8" t="s">
        <v>517</v>
      </c>
      <c r="S4" s="8" t="s">
        <v>518</v>
      </c>
      <c r="T4" s="8" t="s">
        <v>519</v>
      </c>
    </row>
    <row r="5" customFormat="false" ht="15" hidden="false" customHeight="false" outlineLevel="0" collapsed="false">
      <c r="A5" s="33" t="s">
        <v>520</v>
      </c>
      <c r="B5" s="33" t="s">
        <v>236</v>
      </c>
      <c r="C5" s="33" t="s">
        <v>521</v>
      </c>
      <c r="D5" s="33" t="s">
        <v>522</v>
      </c>
      <c r="E5" s="33" t="s">
        <v>523</v>
      </c>
      <c r="F5" s="49" t="n">
        <v>46310</v>
      </c>
      <c r="G5" s="33" t="s">
        <v>524</v>
      </c>
      <c r="H5" s="33" t="s">
        <v>524</v>
      </c>
      <c r="I5" s="33" t="s">
        <v>525</v>
      </c>
      <c r="J5" s="33" t="s">
        <v>524</v>
      </c>
      <c r="K5" s="33" t="s">
        <v>526</v>
      </c>
      <c r="L5" s="33" t="s">
        <v>527</v>
      </c>
      <c r="M5" s="33" t="s">
        <v>527</v>
      </c>
      <c r="N5" s="33" t="s">
        <v>528</v>
      </c>
      <c r="O5" s="33" t="s">
        <v>419</v>
      </c>
      <c r="P5" s="33"/>
      <c r="Q5" s="33"/>
      <c r="R5" s="33" t="n">
        <v>0</v>
      </c>
      <c r="S5" s="33"/>
      <c r="T5" s="33"/>
    </row>
    <row r="6" customFormat="false" ht="15" hidden="false" customHeight="false" outlineLevel="0" collapsed="false">
      <c r="A6" s="33"/>
      <c r="B6" s="33"/>
      <c r="C6" s="33"/>
      <c r="D6" s="33"/>
      <c r="E6" s="33"/>
      <c r="F6" s="49"/>
      <c r="G6" s="33"/>
      <c r="H6" s="33"/>
      <c r="I6" s="33"/>
      <c r="J6" s="33"/>
      <c r="K6" s="33"/>
      <c r="L6" s="33"/>
      <c r="M6" s="33"/>
      <c r="N6" s="33"/>
      <c r="O6" s="33"/>
      <c r="P6" s="49"/>
      <c r="Q6" s="33"/>
      <c r="R6" s="33"/>
      <c r="S6" s="33"/>
      <c r="T6" s="33"/>
    </row>
    <row r="7" customFormat="false" ht="15" hidden="false" customHeight="false" outlineLevel="0" collapsed="false">
      <c r="A7" s="33"/>
      <c r="B7" s="33"/>
      <c r="C7" s="33"/>
      <c r="D7" s="33"/>
      <c r="E7" s="33"/>
      <c r="F7" s="49"/>
      <c r="G7" s="33"/>
      <c r="H7" s="33"/>
      <c r="I7" s="33"/>
      <c r="J7" s="33"/>
      <c r="K7" s="33"/>
      <c r="L7" s="33"/>
      <c r="M7" s="33"/>
      <c r="N7" s="33"/>
      <c r="O7" s="33"/>
      <c r="P7" s="49"/>
      <c r="Q7" s="33"/>
      <c r="R7" s="33"/>
      <c r="S7" s="33"/>
      <c r="T7" s="33"/>
    </row>
    <row r="8" customFormat="false" ht="15" hidden="false" customHeight="false" outlineLevel="0" collapsed="false">
      <c r="A8" s="33"/>
      <c r="B8" s="33"/>
      <c r="C8" s="33"/>
      <c r="D8" s="33"/>
      <c r="E8" s="33"/>
      <c r="F8" s="49"/>
      <c r="G8" s="33"/>
      <c r="H8" s="33"/>
      <c r="I8" s="33"/>
      <c r="J8" s="33"/>
      <c r="K8" s="33"/>
      <c r="L8" s="33"/>
      <c r="M8" s="33"/>
      <c r="N8" s="33"/>
      <c r="O8" s="33"/>
      <c r="P8" s="49"/>
      <c r="Q8" s="33"/>
      <c r="R8" s="33"/>
      <c r="S8" s="33"/>
      <c r="T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49"/>
      <c r="G9" s="33"/>
      <c r="H9" s="33"/>
      <c r="I9" s="33"/>
      <c r="J9" s="33"/>
      <c r="K9" s="33"/>
      <c r="L9" s="33"/>
      <c r="M9" s="33"/>
      <c r="N9" s="33"/>
      <c r="O9" s="33"/>
      <c r="P9" s="49"/>
      <c r="Q9" s="33"/>
      <c r="R9" s="33"/>
      <c r="S9" s="33"/>
      <c r="T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49"/>
      <c r="G10" s="33"/>
      <c r="H10" s="33"/>
      <c r="I10" s="33"/>
      <c r="J10" s="33"/>
      <c r="K10" s="33"/>
      <c r="L10" s="33"/>
      <c r="M10" s="33"/>
      <c r="N10" s="33"/>
      <c r="O10" s="33"/>
      <c r="P10" s="49"/>
      <c r="Q10" s="33"/>
      <c r="R10" s="33"/>
      <c r="S10" s="33"/>
      <c r="T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49"/>
      <c r="G11" s="33"/>
      <c r="H11" s="33"/>
      <c r="I11" s="33"/>
      <c r="J11" s="33"/>
      <c r="K11" s="33"/>
      <c r="L11" s="33"/>
      <c r="M11" s="33"/>
      <c r="N11" s="33"/>
      <c r="O11" s="33"/>
      <c r="P11" s="49"/>
      <c r="Q11" s="33"/>
      <c r="R11" s="33"/>
      <c r="S11" s="33"/>
      <c r="T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49"/>
      <c r="G12" s="33"/>
      <c r="H12" s="33"/>
      <c r="I12" s="33"/>
      <c r="J12" s="33"/>
      <c r="K12" s="33"/>
      <c r="L12" s="33"/>
      <c r="M12" s="33"/>
      <c r="N12" s="33"/>
      <c r="O12" s="33"/>
      <c r="P12" s="49"/>
      <c r="Q12" s="33"/>
      <c r="R12" s="33"/>
      <c r="S12" s="33"/>
      <c r="T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49"/>
      <c r="G13" s="33"/>
      <c r="H13" s="33"/>
      <c r="I13" s="33"/>
      <c r="J13" s="33"/>
      <c r="K13" s="33"/>
      <c r="L13" s="33"/>
      <c r="M13" s="33"/>
      <c r="N13" s="33"/>
      <c r="O13" s="33"/>
      <c r="P13" s="49"/>
      <c r="Q13" s="33"/>
      <c r="R13" s="33"/>
      <c r="S13" s="33"/>
      <c r="T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49"/>
      <c r="G14" s="33"/>
      <c r="H14" s="33"/>
      <c r="I14" s="33"/>
      <c r="J14" s="33"/>
      <c r="K14" s="33"/>
      <c r="L14" s="33"/>
      <c r="M14" s="33"/>
      <c r="N14" s="33"/>
      <c r="O14" s="33"/>
      <c r="P14" s="49"/>
      <c r="Q14" s="33"/>
      <c r="R14" s="33"/>
      <c r="S14" s="33"/>
      <c r="T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49"/>
      <c r="Q15" s="33"/>
      <c r="R15" s="33"/>
      <c r="S15" s="33"/>
      <c r="T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49"/>
      <c r="Q16" s="33"/>
      <c r="R16" s="33"/>
      <c r="S16" s="33"/>
      <c r="T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49"/>
      <c r="G17" s="33"/>
      <c r="H17" s="33"/>
      <c r="I17" s="33"/>
      <c r="J17" s="33"/>
      <c r="K17" s="33"/>
      <c r="L17" s="33"/>
      <c r="M17" s="33"/>
      <c r="N17" s="33"/>
      <c r="O17" s="33"/>
      <c r="P17" s="49"/>
      <c r="Q17" s="33"/>
      <c r="R17" s="33"/>
      <c r="S17" s="33"/>
      <c r="T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49"/>
      <c r="Q18" s="33"/>
      <c r="R18" s="33"/>
      <c r="S18" s="33"/>
      <c r="T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49"/>
      <c r="Q19" s="33"/>
      <c r="R19" s="33"/>
      <c r="S19" s="33"/>
      <c r="T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49"/>
      <c r="Q20" s="33"/>
      <c r="R20" s="33"/>
      <c r="S20" s="33"/>
      <c r="T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49"/>
      <c r="Q21" s="33"/>
      <c r="R21" s="33"/>
      <c r="S21" s="33"/>
      <c r="T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49"/>
      <c r="Q22" s="33"/>
      <c r="R22" s="33"/>
      <c r="S22" s="33"/>
      <c r="T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49"/>
      <c r="G23" s="33"/>
      <c r="H23" s="33"/>
      <c r="I23" s="33"/>
      <c r="J23" s="33"/>
      <c r="K23" s="33"/>
      <c r="L23" s="33"/>
      <c r="M23" s="33"/>
      <c r="N23" s="33"/>
      <c r="O23" s="33"/>
      <c r="P23" s="49"/>
      <c r="Q23" s="33"/>
      <c r="R23" s="33"/>
      <c r="S23" s="33"/>
      <c r="T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49"/>
      <c r="G24" s="33"/>
      <c r="H24" s="33"/>
      <c r="I24" s="33"/>
      <c r="J24" s="33"/>
      <c r="K24" s="33"/>
      <c r="L24" s="33"/>
      <c r="M24" s="33"/>
      <c r="N24" s="33"/>
      <c r="O24" s="33"/>
      <c r="P24" s="49"/>
      <c r="Q24" s="33"/>
      <c r="R24" s="33"/>
      <c r="S24" s="33"/>
      <c r="T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49"/>
      <c r="G25" s="33"/>
      <c r="H25" s="33"/>
      <c r="I25" s="33"/>
      <c r="J25" s="33"/>
      <c r="K25" s="33"/>
      <c r="L25" s="33"/>
      <c r="M25" s="33"/>
      <c r="N25" s="33"/>
      <c r="O25" s="33"/>
      <c r="P25" s="49"/>
      <c r="Q25" s="33"/>
      <c r="R25" s="33"/>
      <c r="S25" s="33"/>
      <c r="T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49"/>
      <c r="G26" s="33"/>
      <c r="H26" s="33"/>
      <c r="I26" s="33"/>
      <c r="J26" s="33"/>
      <c r="K26" s="33"/>
      <c r="L26" s="33"/>
      <c r="M26" s="33"/>
      <c r="N26" s="33"/>
      <c r="O26" s="33"/>
      <c r="P26" s="49"/>
      <c r="Q26" s="33"/>
      <c r="R26" s="33"/>
      <c r="S26" s="33"/>
      <c r="T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49"/>
      <c r="G27" s="33"/>
      <c r="H27" s="33"/>
      <c r="I27" s="33"/>
      <c r="J27" s="33"/>
      <c r="K27" s="33"/>
      <c r="L27" s="33"/>
      <c r="M27" s="33"/>
      <c r="N27" s="33"/>
      <c r="O27" s="33"/>
      <c r="P27" s="49"/>
      <c r="Q27" s="33"/>
      <c r="R27" s="33"/>
      <c r="S27" s="33"/>
      <c r="T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49"/>
      <c r="G28" s="33"/>
      <c r="H28" s="33"/>
      <c r="I28" s="33"/>
      <c r="J28" s="33"/>
      <c r="K28" s="33"/>
      <c r="L28" s="33"/>
      <c r="M28" s="33"/>
      <c r="N28" s="33"/>
      <c r="O28" s="33"/>
      <c r="P28" s="49"/>
      <c r="Q28" s="33"/>
      <c r="R28" s="33"/>
      <c r="S28" s="33"/>
      <c r="T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49"/>
      <c r="G29" s="33"/>
      <c r="H29" s="33"/>
      <c r="I29" s="33"/>
      <c r="J29" s="33"/>
      <c r="K29" s="33"/>
      <c r="L29" s="33"/>
      <c r="M29" s="33"/>
      <c r="N29" s="33"/>
      <c r="O29" s="33"/>
      <c r="P29" s="49"/>
      <c r="Q29" s="33"/>
      <c r="R29" s="33"/>
      <c r="S29" s="33"/>
      <c r="T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49"/>
      <c r="G30" s="33"/>
      <c r="H30" s="33"/>
      <c r="I30" s="33"/>
      <c r="J30" s="33"/>
      <c r="K30" s="33"/>
      <c r="L30" s="33"/>
      <c r="M30" s="33"/>
      <c r="N30" s="33"/>
      <c r="O30" s="33"/>
      <c r="P30" s="49"/>
      <c r="Q30" s="33"/>
      <c r="R30" s="33"/>
      <c r="S30" s="33"/>
      <c r="T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49"/>
      <c r="G31" s="33"/>
      <c r="H31" s="33"/>
      <c r="I31" s="33"/>
      <c r="J31" s="33"/>
      <c r="K31" s="33"/>
      <c r="L31" s="33"/>
      <c r="M31" s="33"/>
      <c r="N31" s="33"/>
      <c r="O31" s="33"/>
      <c r="P31" s="49"/>
      <c r="Q31" s="33"/>
      <c r="R31" s="33"/>
      <c r="S31" s="33"/>
      <c r="T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49"/>
      <c r="G32" s="33"/>
      <c r="H32" s="33"/>
      <c r="I32" s="33"/>
      <c r="J32" s="33"/>
      <c r="K32" s="33"/>
      <c r="L32" s="33"/>
      <c r="M32" s="33"/>
      <c r="N32" s="33"/>
      <c r="O32" s="33"/>
      <c r="P32" s="49"/>
      <c r="Q32" s="33"/>
      <c r="R32" s="33"/>
      <c r="S32" s="33"/>
      <c r="T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49"/>
      <c r="G33" s="33"/>
      <c r="H33" s="33"/>
      <c r="I33" s="33"/>
      <c r="J33" s="33"/>
      <c r="K33" s="33"/>
      <c r="L33" s="33"/>
      <c r="M33" s="33"/>
      <c r="N33" s="33"/>
      <c r="O33" s="33"/>
      <c r="P33" s="49"/>
      <c r="Q33" s="33"/>
      <c r="R33" s="33"/>
      <c r="S33" s="33"/>
      <c r="T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49"/>
      <c r="G34" s="33"/>
      <c r="H34" s="33"/>
      <c r="I34" s="33"/>
      <c r="J34" s="33"/>
      <c r="K34" s="33"/>
      <c r="L34" s="33"/>
      <c r="M34" s="33"/>
      <c r="N34" s="33"/>
      <c r="O34" s="33"/>
      <c r="P34" s="49"/>
      <c r="Q34" s="33"/>
      <c r="R34" s="33"/>
      <c r="S34" s="33"/>
      <c r="T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49"/>
      <c r="G35" s="33"/>
      <c r="H35" s="33"/>
      <c r="I35" s="33"/>
      <c r="J35" s="33"/>
      <c r="K35" s="33"/>
      <c r="L35" s="33"/>
      <c r="M35" s="33"/>
      <c r="N35" s="33"/>
      <c r="O35" s="33"/>
      <c r="P35" s="49"/>
      <c r="Q35" s="33"/>
      <c r="R35" s="33"/>
      <c r="S35" s="33"/>
      <c r="T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49"/>
      <c r="G36" s="33"/>
      <c r="H36" s="33"/>
      <c r="I36" s="33"/>
      <c r="J36" s="33"/>
      <c r="K36" s="33"/>
      <c r="L36" s="33"/>
      <c r="M36" s="33"/>
      <c r="N36" s="33"/>
      <c r="O36" s="33"/>
      <c r="P36" s="49"/>
      <c r="Q36" s="33"/>
      <c r="R36" s="33"/>
      <c r="S36" s="33"/>
      <c r="T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49"/>
      <c r="G37" s="33"/>
      <c r="H37" s="33"/>
      <c r="I37" s="33"/>
      <c r="J37" s="33"/>
      <c r="K37" s="33"/>
      <c r="L37" s="33"/>
      <c r="M37" s="33"/>
      <c r="N37" s="33"/>
      <c r="O37" s="33"/>
      <c r="P37" s="49"/>
      <c r="Q37" s="33"/>
      <c r="R37" s="33"/>
      <c r="S37" s="33"/>
      <c r="T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49"/>
      <c r="G38" s="33"/>
      <c r="H38" s="33"/>
      <c r="I38" s="33"/>
      <c r="J38" s="33"/>
      <c r="K38" s="33"/>
      <c r="L38" s="33"/>
      <c r="M38" s="33"/>
      <c r="N38" s="33"/>
      <c r="O38" s="33"/>
      <c r="P38" s="49"/>
      <c r="Q38" s="33"/>
      <c r="R38" s="33"/>
      <c r="S38" s="33"/>
      <c r="T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49"/>
      <c r="G39" s="33"/>
      <c r="H39" s="33"/>
      <c r="I39" s="33"/>
      <c r="J39" s="33"/>
      <c r="K39" s="33"/>
      <c r="L39" s="33"/>
      <c r="M39" s="33"/>
      <c r="N39" s="33"/>
      <c r="O39" s="33"/>
      <c r="P39" s="49"/>
      <c r="Q39" s="33"/>
      <c r="R39" s="33"/>
      <c r="S39" s="33"/>
      <c r="T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49"/>
      <c r="G40" s="33"/>
      <c r="H40" s="33"/>
      <c r="I40" s="33"/>
      <c r="J40" s="33"/>
      <c r="K40" s="33"/>
      <c r="L40" s="33"/>
      <c r="M40" s="33"/>
      <c r="N40" s="33"/>
      <c r="O40" s="33"/>
      <c r="P40" s="49"/>
      <c r="Q40" s="33"/>
      <c r="R40" s="33"/>
      <c r="S40" s="33"/>
      <c r="T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49"/>
      <c r="G41" s="33"/>
      <c r="H41" s="33"/>
      <c r="I41" s="33"/>
      <c r="J41" s="33"/>
      <c r="K41" s="33"/>
      <c r="L41" s="33"/>
      <c r="M41" s="33"/>
      <c r="N41" s="33"/>
      <c r="O41" s="33"/>
      <c r="P41" s="49"/>
      <c r="Q41" s="33"/>
      <c r="R41" s="33"/>
      <c r="S41" s="33"/>
      <c r="T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49"/>
      <c r="G42" s="33"/>
      <c r="H42" s="33"/>
      <c r="I42" s="33"/>
      <c r="J42" s="33"/>
      <c r="K42" s="33"/>
      <c r="L42" s="33"/>
      <c r="M42" s="33"/>
      <c r="N42" s="33"/>
      <c r="O42" s="33"/>
      <c r="P42" s="49"/>
      <c r="Q42" s="33"/>
      <c r="R42" s="33"/>
      <c r="S42" s="33"/>
      <c r="T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49"/>
      <c r="G43" s="33"/>
      <c r="H43" s="33"/>
      <c r="I43" s="33"/>
      <c r="J43" s="33"/>
      <c r="K43" s="33"/>
      <c r="L43" s="33"/>
      <c r="M43" s="33"/>
      <c r="N43" s="33"/>
      <c r="O43" s="33"/>
      <c r="P43" s="49"/>
      <c r="Q43" s="33"/>
      <c r="R43" s="33"/>
      <c r="S43" s="33"/>
      <c r="T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49"/>
      <c r="G44" s="33"/>
      <c r="H44" s="33"/>
      <c r="I44" s="33"/>
      <c r="J44" s="33"/>
      <c r="K44" s="33"/>
      <c r="L44" s="33"/>
      <c r="M44" s="33"/>
      <c r="N44" s="33"/>
      <c r="O44" s="33"/>
      <c r="P44" s="49"/>
      <c r="Q44" s="33"/>
      <c r="R44" s="33"/>
      <c r="S44" s="33"/>
      <c r="T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49"/>
      <c r="G45" s="33"/>
      <c r="H45" s="33"/>
      <c r="I45" s="33"/>
      <c r="J45" s="33"/>
      <c r="K45" s="33"/>
      <c r="L45" s="33"/>
      <c r="M45" s="33"/>
      <c r="N45" s="33"/>
      <c r="O45" s="33"/>
      <c r="P45" s="49"/>
      <c r="Q45" s="33"/>
      <c r="R45" s="33"/>
      <c r="S45" s="33"/>
      <c r="T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49"/>
      <c r="G46" s="33"/>
      <c r="H46" s="33"/>
      <c r="I46" s="33"/>
      <c r="J46" s="33"/>
      <c r="K46" s="33"/>
      <c r="L46" s="33"/>
      <c r="M46" s="33"/>
      <c r="N46" s="33"/>
      <c r="O46" s="33"/>
      <c r="P46" s="49"/>
      <c r="Q46" s="33"/>
      <c r="R46" s="33"/>
      <c r="S46" s="33"/>
      <c r="T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49"/>
      <c r="G47" s="33"/>
      <c r="H47" s="33"/>
      <c r="I47" s="33"/>
      <c r="J47" s="33"/>
      <c r="K47" s="33"/>
      <c r="L47" s="33"/>
      <c r="M47" s="33"/>
      <c r="N47" s="33"/>
      <c r="O47" s="33"/>
      <c r="P47" s="49"/>
      <c r="Q47" s="33"/>
      <c r="R47" s="33"/>
      <c r="S47" s="33"/>
      <c r="T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49"/>
      <c r="G48" s="33"/>
      <c r="H48" s="33"/>
      <c r="I48" s="33"/>
      <c r="J48" s="33"/>
      <c r="K48" s="33"/>
      <c r="L48" s="33"/>
      <c r="M48" s="33"/>
      <c r="N48" s="33"/>
      <c r="O48" s="33"/>
      <c r="P48" s="49"/>
      <c r="Q48" s="33"/>
      <c r="R48" s="33"/>
      <c r="S48" s="33"/>
      <c r="T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49"/>
      <c r="G49" s="33"/>
      <c r="H49" s="33"/>
      <c r="I49" s="33"/>
      <c r="J49" s="33"/>
      <c r="K49" s="33"/>
      <c r="L49" s="33"/>
      <c r="M49" s="33"/>
      <c r="N49" s="33"/>
      <c r="O49" s="33"/>
      <c r="P49" s="49"/>
      <c r="Q49" s="33"/>
      <c r="R49" s="33"/>
      <c r="S49" s="33"/>
      <c r="T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49"/>
      <c r="G50" s="33"/>
      <c r="H50" s="33"/>
      <c r="I50" s="33"/>
      <c r="J50" s="33"/>
      <c r="K50" s="33"/>
      <c r="L50" s="33"/>
      <c r="M50" s="33"/>
      <c r="N50" s="33"/>
      <c r="O50" s="33"/>
      <c r="P50" s="49"/>
      <c r="Q50" s="33"/>
      <c r="R50" s="33"/>
      <c r="S50" s="33"/>
      <c r="T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49"/>
      <c r="G51" s="33"/>
      <c r="H51" s="33"/>
      <c r="I51" s="33"/>
      <c r="J51" s="33"/>
      <c r="K51" s="33"/>
      <c r="L51" s="33"/>
      <c r="M51" s="33"/>
      <c r="N51" s="33"/>
      <c r="O51" s="33"/>
      <c r="P51" s="49"/>
      <c r="Q51" s="33"/>
      <c r="R51" s="33"/>
      <c r="S51" s="33"/>
      <c r="T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49"/>
      <c r="G52" s="33"/>
      <c r="H52" s="33"/>
      <c r="I52" s="33"/>
      <c r="J52" s="33"/>
      <c r="K52" s="33"/>
      <c r="L52" s="33"/>
      <c r="M52" s="33"/>
      <c r="N52" s="33"/>
      <c r="O52" s="33"/>
      <c r="P52" s="49"/>
      <c r="Q52" s="33"/>
      <c r="R52" s="33"/>
      <c r="S52" s="33"/>
      <c r="T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49"/>
      <c r="G53" s="33"/>
      <c r="H53" s="33"/>
      <c r="I53" s="33"/>
      <c r="J53" s="33"/>
      <c r="K53" s="33"/>
      <c r="L53" s="33"/>
      <c r="M53" s="33"/>
      <c r="N53" s="33"/>
      <c r="O53" s="33"/>
      <c r="P53" s="49"/>
      <c r="Q53" s="33"/>
      <c r="R53" s="33"/>
      <c r="S53" s="33"/>
      <c r="T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49"/>
      <c r="G54" s="33"/>
      <c r="H54" s="33"/>
      <c r="I54" s="33"/>
      <c r="J54" s="33"/>
      <c r="K54" s="33"/>
      <c r="L54" s="33"/>
      <c r="M54" s="33"/>
      <c r="N54" s="33"/>
      <c r="O54" s="33"/>
      <c r="P54" s="49"/>
      <c r="Q54" s="33"/>
      <c r="R54" s="33"/>
      <c r="S54" s="33"/>
      <c r="T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49"/>
      <c r="G55" s="33"/>
      <c r="H55" s="33"/>
      <c r="I55" s="33"/>
      <c r="J55" s="33"/>
      <c r="K55" s="33"/>
      <c r="L55" s="33"/>
      <c r="M55" s="33"/>
      <c r="N55" s="33"/>
      <c r="O55" s="33"/>
      <c r="P55" s="49"/>
      <c r="Q55" s="33"/>
      <c r="R55" s="33"/>
      <c r="S55" s="33"/>
      <c r="T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49"/>
      <c r="G56" s="33"/>
      <c r="H56" s="33"/>
      <c r="I56" s="33"/>
      <c r="J56" s="33"/>
      <c r="K56" s="33"/>
      <c r="L56" s="33"/>
      <c r="M56" s="33"/>
      <c r="N56" s="33"/>
      <c r="O56" s="33"/>
      <c r="P56" s="49"/>
      <c r="Q56" s="33"/>
      <c r="R56" s="33"/>
      <c r="S56" s="33"/>
      <c r="T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49"/>
      <c r="G57" s="33"/>
      <c r="H57" s="33"/>
      <c r="I57" s="33"/>
      <c r="J57" s="33"/>
      <c r="K57" s="33"/>
      <c r="L57" s="33"/>
      <c r="M57" s="33"/>
      <c r="N57" s="33"/>
      <c r="O57" s="33"/>
      <c r="P57" s="49"/>
      <c r="Q57" s="33"/>
      <c r="R57" s="33"/>
      <c r="S57" s="33"/>
      <c r="T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49"/>
      <c r="G58" s="33"/>
      <c r="H58" s="33"/>
      <c r="I58" s="33"/>
      <c r="J58" s="33"/>
      <c r="K58" s="33"/>
      <c r="L58" s="33"/>
      <c r="M58" s="33"/>
      <c r="N58" s="33"/>
      <c r="O58" s="33"/>
      <c r="P58" s="49"/>
      <c r="Q58" s="33"/>
      <c r="R58" s="33"/>
      <c r="S58" s="33"/>
      <c r="T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49"/>
      <c r="G59" s="33"/>
      <c r="H59" s="33"/>
      <c r="I59" s="33"/>
      <c r="J59" s="33"/>
      <c r="K59" s="33"/>
      <c r="L59" s="33"/>
      <c r="M59" s="33"/>
      <c r="N59" s="33"/>
      <c r="O59" s="33"/>
      <c r="P59" s="49"/>
      <c r="Q59" s="33"/>
      <c r="R59" s="33"/>
      <c r="S59" s="33"/>
      <c r="T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49"/>
      <c r="G60" s="33"/>
      <c r="H60" s="33"/>
      <c r="I60" s="33"/>
      <c r="J60" s="33"/>
      <c r="K60" s="33"/>
      <c r="L60" s="33"/>
      <c r="M60" s="33"/>
      <c r="N60" s="33"/>
      <c r="O60" s="33"/>
      <c r="P60" s="49"/>
      <c r="Q60" s="33"/>
      <c r="R60" s="33"/>
      <c r="S60" s="33"/>
      <c r="T60" s="33"/>
    </row>
  </sheetData>
  <dataValidations count="5">
    <dataValidation allowBlank="true" errorStyle="stop" operator="between" showDropDown="false" showErrorMessage="false" showInputMessage="false" sqref="B5:B300" type="list">
      <formula1>"A,B"</formula1>
      <formula2>0</formula2>
    </dataValidation>
    <dataValidation allowBlank="true" errorStyle="stop" operator="between" showDropDown="false" showErrorMessage="false" showInputMessage="false" sqref="C5:C300" type="list">
      <formula1>"SaaS,AI tool,SPVL,Crypto,Forex"</formula1>
      <formula2>0</formula2>
    </dataValidation>
    <dataValidation allowBlank="true" errorStyle="stop" operator="between" showDropDown="false" showErrorMessage="false" showInputMessage="false" sqref="G5:H300 J5:M300" type="list">
      <formula1>"Chưa làm,Đang làm,Xong,Làm lại,Không áp dụng"</formula1>
      <formula2>0</formula2>
    </dataValidation>
    <dataValidation allowBlank="true" errorStyle="stop" operator="between" showDropDown="false" showErrorMessage="false" showInputMessage="false" sqref="I5:I300 N5:N300" type="list">
      <formula1>"Chưa duyệt,Đạt,Không đạt"</formula1>
      <formula2>0</formula2>
    </dataValidation>
    <dataValidation allowBlank="true" errorStyle="stop" operator="between" showDropDown="false" showErrorMessage="false" showInputMessage="false" sqref="O5:O300" type="list">
      <formula1>"Có,Chưa"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529</v>
      </c>
    </row>
    <row r="2" customFormat="false" ht="15" hidden="false" customHeight="false" outlineLevel="0" collapsed="false">
      <c r="A2" s="2" t="s">
        <v>530</v>
      </c>
    </row>
    <row r="4" customFormat="false" ht="39.55" hidden="false" customHeight="false" outlineLevel="0" collapsed="false">
      <c r="A4" s="8" t="s">
        <v>531</v>
      </c>
      <c r="B4" s="8" t="s">
        <v>532</v>
      </c>
      <c r="C4" s="8" t="s">
        <v>533</v>
      </c>
      <c r="D4" s="8" t="s">
        <v>534</v>
      </c>
      <c r="E4" s="8" t="s">
        <v>535</v>
      </c>
      <c r="F4" s="8" t="s">
        <v>536</v>
      </c>
      <c r="G4" s="8" t="s">
        <v>537</v>
      </c>
      <c r="H4" s="8" t="s">
        <v>538</v>
      </c>
      <c r="I4" s="8" t="s">
        <v>539</v>
      </c>
      <c r="J4" s="8" t="s">
        <v>540</v>
      </c>
      <c r="K4" s="8" t="s">
        <v>541</v>
      </c>
      <c r="L4" s="8" t="s">
        <v>542</v>
      </c>
      <c r="M4" s="8" t="s">
        <v>543</v>
      </c>
      <c r="N4" s="8" t="s">
        <v>544</v>
      </c>
      <c r="O4" s="8" t="s">
        <v>545</v>
      </c>
    </row>
    <row r="5" customFormat="false" ht="15" hidden="false" customHeight="false" outlineLevel="0" collapsed="false">
      <c r="A5" s="50" t="s">
        <v>546</v>
      </c>
      <c r="B5" s="44" t="n">
        <v>5</v>
      </c>
      <c r="C5" s="44" t="n">
        <v>28</v>
      </c>
      <c r="D5" s="44" t="n">
        <v>0.05</v>
      </c>
      <c r="E5" s="44" t="n">
        <v>0.3</v>
      </c>
      <c r="F5" s="44" t="n">
        <v>5000</v>
      </c>
      <c r="G5" s="44" t="n">
        <v>50000</v>
      </c>
      <c r="H5" s="44" t="n">
        <v>120</v>
      </c>
      <c r="I5" s="10" t="n">
        <v>4000</v>
      </c>
      <c r="J5" s="44" t="n">
        <v>100</v>
      </c>
      <c r="K5" s="44" t="n">
        <v>3</v>
      </c>
      <c r="L5" s="43" t="n">
        <v>150</v>
      </c>
      <c r="M5" s="44" t="n">
        <v>0.1</v>
      </c>
      <c r="N5" s="43" t="n">
        <v>175</v>
      </c>
      <c r="O5" s="43" t="n">
        <v>3</v>
      </c>
    </row>
    <row r="6" customFormat="false" ht="15" hidden="false" customHeight="false" outlineLevel="0" collapsed="false">
      <c r="A6" s="33" t="s">
        <v>547</v>
      </c>
      <c r="B6" s="12" t="n">
        <v>3</v>
      </c>
      <c r="C6" s="12" t="n">
        <v>15</v>
      </c>
      <c r="D6" s="17" t="n">
        <v>0.041</v>
      </c>
      <c r="E6" s="17" t="n">
        <v>0.27</v>
      </c>
      <c r="F6" s="12" t="n">
        <v>1500</v>
      </c>
      <c r="G6" s="12" t="n">
        <v>9000</v>
      </c>
      <c r="H6" s="12" t="n">
        <v>40</v>
      </c>
      <c r="I6" s="26" t="n">
        <f aca="false">IF(F6="","",SUMPRODUCT($F$6:F6,$E$6:E6)*ThongSo!$B$6/3600)</f>
        <v>121.5</v>
      </c>
      <c r="J6" s="12" t="n">
        <v>22</v>
      </c>
      <c r="K6" s="12" t="n">
        <v>0</v>
      </c>
      <c r="L6" s="18" t="n">
        <v>0</v>
      </c>
      <c r="M6" s="17" t="n">
        <v>0.33</v>
      </c>
      <c r="N6" s="18" t="n">
        <v>170</v>
      </c>
      <c r="O6" s="18" t="n">
        <f aca="false">IF(OR(N6="",F6+G6=0),"",N6/(F6+G6)*1000)</f>
        <v>16.1904761904762</v>
      </c>
    </row>
    <row r="7" customFormat="false" ht="15" hidden="false" customHeight="false" outlineLevel="0" collapsed="false">
      <c r="A7" s="21" t="s">
        <v>548</v>
      </c>
      <c r="B7" s="12"/>
      <c r="C7" s="12"/>
      <c r="D7" s="17"/>
      <c r="E7" s="17"/>
      <c r="F7" s="12"/>
      <c r="G7" s="12"/>
      <c r="H7" s="12"/>
      <c r="I7" s="26" t="str">
        <f aca="false">IF(F7="","",SUMPRODUCT($F$6:F7,$E$6:E7)*ThongSo!$B$6/3600)</f>
        <v/>
      </c>
      <c r="J7" s="12"/>
      <c r="K7" s="12"/>
      <c r="L7" s="18"/>
      <c r="M7" s="17"/>
      <c r="N7" s="18"/>
      <c r="O7" s="18" t="str">
        <f aca="false">IF(OR(N7="",F7+G7=0),"",N7/(F7+G7)*1000)</f>
        <v/>
      </c>
    </row>
    <row r="8" customFormat="false" ht="15" hidden="false" customHeight="false" outlineLevel="0" collapsed="false">
      <c r="A8" s="21" t="s">
        <v>549</v>
      </c>
      <c r="B8" s="12"/>
      <c r="C8" s="12"/>
      <c r="D8" s="17"/>
      <c r="E8" s="17"/>
      <c r="F8" s="12"/>
      <c r="G8" s="12"/>
      <c r="H8" s="12"/>
      <c r="I8" s="26" t="str">
        <f aca="false">IF(F8="","",SUMPRODUCT($F$6:F8,$E$6:E8)*ThongSo!$B$6/3600)</f>
        <v/>
      </c>
      <c r="J8" s="12"/>
      <c r="K8" s="12"/>
      <c r="L8" s="18"/>
      <c r="M8" s="17"/>
      <c r="N8" s="18"/>
      <c r="O8" s="18" t="str">
        <f aca="false">IF(OR(N8="",F8+G8=0),"",N8/(F8+G8)*1000)</f>
        <v/>
      </c>
    </row>
    <row r="9" customFormat="false" ht="15" hidden="false" customHeight="false" outlineLevel="0" collapsed="false">
      <c r="A9" s="21" t="s">
        <v>550</v>
      </c>
      <c r="B9" s="12"/>
      <c r="C9" s="12"/>
      <c r="D9" s="17"/>
      <c r="E9" s="17"/>
      <c r="F9" s="12"/>
      <c r="G9" s="12"/>
      <c r="H9" s="12"/>
      <c r="I9" s="26" t="str">
        <f aca="false">IF(F9="","",SUMPRODUCT($F$6:F9,$E$6:E9)*ThongSo!$B$6/3600)</f>
        <v/>
      </c>
      <c r="J9" s="12"/>
      <c r="K9" s="12"/>
      <c r="L9" s="18"/>
      <c r="M9" s="17"/>
      <c r="N9" s="18"/>
      <c r="O9" s="18" t="str">
        <f aca="false">IF(OR(N9="",F9+G9=0),"",N9/(F9+G9)*1000)</f>
        <v/>
      </c>
    </row>
    <row r="10" customFormat="false" ht="15" hidden="false" customHeight="false" outlineLevel="0" collapsed="false">
      <c r="A10" s="21" t="s">
        <v>551</v>
      </c>
      <c r="B10" s="12"/>
      <c r="C10" s="12"/>
      <c r="D10" s="17"/>
      <c r="E10" s="17"/>
      <c r="F10" s="12"/>
      <c r="G10" s="12"/>
      <c r="H10" s="12"/>
      <c r="I10" s="26" t="str">
        <f aca="false">IF(F10="","",SUMPRODUCT($F$6:F10,$E$6:E10)*ThongSo!$B$6/3600)</f>
        <v/>
      </c>
      <c r="J10" s="12"/>
      <c r="K10" s="12"/>
      <c r="L10" s="18"/>
      <c r="M10" s="17"/>
      <c r="N10" s="18"/>
      <c r="O10" s="18" t="str">
        <f aca="false">IF(OR(N10="",F10+G10=0),"",N10/(F10+G10)*1000)</f>
        <v/>
      </c>
    </row>
    <row r="11" customFormat="false" ht="15" hidden="false" customHeight="false" outlineLevel="0" collapsed="false">
      <c r="A11" s="21" t="s">
        <v>552</v>
      </c>
      <c r="B11" s="12"/>
      <c r="C11" s="12"/>
      <c r="D11" s="17"/>
      <c r="E11" s="17"/>
      <c r="F11" s="12"/>
      <c r="G11" s="12"/>
      <c r="H11" s="12"/>
      <c r="I11" s="26" t="str">
        <f aca="false">IF(F11="","",SUMPRODUCT($F$6:F11,$E$6:E11)*ThongSo!$B$6/3600)</f>
        <v/>
      </c>
      <c r="J11" s="12"/>
      <c r="K11" s="12"/>
      <c r="L11" s="18"/>
      <c r="M11" s="17"/>
      <c r="N11" s="18"/>
      <c r="O11" s="18" t="str">
        <f aca="false">IF(OR(N11="",F11+G11=0),"",N11/(F11+G11)*1000)</f>
        <v/>
      </c>
    </row>
    <row r="12" customFormat="false" ht="15" hidden="false" customHeight="false" outlineLevel="0" collapsed="false">
      <c r="A12" s="21" t="s">
        <v>553</v>
      </c>
      <c r="B12" s="12"/>
      <c r="C12" s="12"/>
      <c r="D12" s="17"/>
      <c r="E12" s="17"/>
      <c r="F12" s="12"/>
      <c r="G12" s="12"/>
      <c r="H12" s="12"/>
      <c r="I12" s="26" t="str">
        <f aca="false">IF(F12="","",SUMPRODUCT($F$6:F12,$E$6:E12)*ThongSo!$B$6/3600)</f>
        <v/>
      </c>
      <c r="J12" s="12"/>
      <c r="K12" s="12"/>
      <c r="L12" s="18"/>
      <c r="M12" s="17"/>
      <c r="N12" s="18"/>
      <c r="O12" s="18" t="str">
        <f aca="false">IF(OR(N12="",F12+G12=0),"",N12/(F12+G12)*1000)</f>
        <v/>
      </c>
    </row>
    <row r="13" customFormat="false" ht="15" hidden="false" customHeight="false" outlineLevel="0" collapsed="false">
      <c r="A13" s="21" t="s">
        <v>554</v>
      </c>
      <c r="B13" s="12"/>
      <c r="C13" s="12"/>
      <c r="D13" s="17"/>
      <c r="E13" s="17"/>
      <c r="F13" s="12"/>
      <c r="G13" s="12"/>
      <c r="H13" s="12"/>
      <c r="I13" s="26" t="str">
        <f aca="false">IF(F13="","",SUMPRODUCT($F$6:F13,$E$6:E13)*ThongSo!$B$6/3600)</f>
        <v/>
      </c>
      <c r="J13" s="12"/>
      <c r="K13" s="12"/>
      <c r="L13" s="18"/>
      <c r="M13" s="17"/>
      <c r="N13" s="18"/>
      <c r="O13" s="18" t="str">
        <f aca="false">IF(OR(N13="",F13+G13=0),"",N13/(F13+G13)*1000)</f>
        <v/>
      </c>
    </row>
    <row r="14" customFormat="false" ht="15" hidden="false" customHeight="false" outlineLevel="0" collapsed="false">
      <c r="A14" s="21" t="s">
        <v>555</v>
      </c>
      <c r="B14" s="12"/>
      <c r="C14" s="12"/>
      <c r="D14" s="17"/>
      <c r="E14" s="17"/>
      <c r="F14" s="12"/>
      <c r="G14" s="12"/>
      <c r="H14" s="12"/>
      <c r="I14" s="26" t="str">
        <f aca="false">IF(F14="","",SUMPRODUCT($F$6:F14,$E$6:E14)*ThongSo!$B$6/3600)</f>
        <v/>
      </c>
      <c r="J14" s="12"/>
      <c r="K14" s="12"/>
      <c r="L14" s="18"/>
      <c r="M14" s="17"/>
      <c r="N14" s="18"/>
      <c r="O14" s="18" t="str">
        <f aca="false">IF(OR(N14="",F14+G14=0),"",N14/(F14+G14)*1000)</f>
        <v/>
      </c>
    </row>
    <row r="15" customFormat="false" ht="15" hidden="false" customHeight="false" outlineLevel="0" collapsed="false">
      <c r="A15" s="21" t="s">
        <v>556</v>
      </c>
      <c r="B15" s="12"/>
      <c r="C15" s="12"/>
      <c r="D15" s="17"/>
      <c r="E15" s="17"/>
      <c r="F15" s="12"/>
      <c r="G15" s="12"/>
      <c r="H15" s="12"/>
      <c r="I15" s="26" t="str">
        <f aca="false">IF(F15="","",SUMPRODUCT($F$6:F15,$E$6:E15)*ThongSo!$B$6/3600)</f>
        <v/>
      </c>
      <c r="J15" s="12"/>
      <c r="K15" s="12"/>
      <c r="L15" s="18"/>
      <c r="M15" s="17"/>
      <c r="N15" s="18"/>
      <c r="O15" s="18" t="str">
        <f aca="false">IF(OR(N15="",F15+G15=0),"",N15/(F15+G15)*1000)</f>
        <v/>
      </c>
    </row>
    <row r="16" customFormat="false" ht="15" hidden="false" customHeight="false" outlineLevel="0" collapsed="false">
      <c r="A16" s="21" t="s">
        <v>557</v>
      </c>
      <c r="B16" s="12"/>
      <c r="C16" s="12"/>
      <c r="D16" s="17"/>
      <c r="E16" s="17"/>
      <c r="F16" s="12"/>
      <c r="G16" s="12"/>
      <c r="H16" s="12"/>
      <c r="I16" s="26" t="str">
        <f aca="false">IF(F16="","",SUMPRODUCT($F$6:F16,$E$6:E16)*ThongSo!$B$6/3600)</f>
        <v/>
      </c>
      <c r="J16" s="12"/>
      <c r="K16" s="12"/>
      <c r="L16" s="18"/>
      <c r="M16" s="17"/>
      <c r="N16" s="18"/>
      <c r="O16" s="18" t="str">
        <f aca="false">IF(OR(N16="",F16+G16=0),"",N16/(F16+G16)*1000)</f>
        <v/>
      </c>
    </row>
    <row r="17" customFormat="false" ht="15" hidden="false" customHeight="false" outlineLevel="0" collapsed="false">
      <c r="A17" s="21" t="s">
        <v>558</v>
      </c>
      <c r="B17" s="12"/>
      <c r="C17" s="12"/>
      <c r="D17" s="17"/>
      <c r="E17" s="17"/>
      <c r="F17" s="12"/>
      <c r="G17" s="12"/>
      <c r="H17" s="12"/>
      <c r="I17" s="26" t="str">
        <f aca="false">IF(F17="","",SUMPRODUCT($F$6:F17,$E$6:E17)*ThongSo!$B$6/3600)</f>
        <v/>
      </c>
      <c r="J17" s="12"/>
      <c r="K17" s="12"/>
      <c r="L17" s="18"/>
      <c r="M17" s="17"/>
      <c r="N17" s="18"/>
      <c r="O17" s="18" t="str">
        <f aca="false">IF(OR(N17="",F17+G17=0),"",N17/(F17+G17)*1000)</f>
        <v/>
      </c>
    </row>
    <row r="18" customFormat="false" ht="15" hidden="false" customHeight="false" outlineLevel="0" collapsed="false">
      <c r="A18" s="21" t="s">
        <v>559</v>
      </c>
      <c r="B18" s="12"/>
      <c r="C18" s="12"/>
      <c r="D18" s="17"/>
      <c r="E18" s="17"/>
      <c r="F18" s="12"/>
      <c r="G18" s="12"/>
      <c r="H18" s="12"/>
      <c r="I18" s="26" t="str">
        <f aca="false">IF(F18="","",SUMPRODUCT($F$6:F18,$E$6:E18)*ThongSo!$B$6/3600)</f>
        <v/>
      </c>
      <c r="J18" s="12"/>
      <c r="K18" s="12"/>
      <c r="L18" s="18"/>
      <c r="M18" s="17"/>
      <c r="N18" s="18"/>
      <c r="O18" s="18" t="str">
        <f aca="false">IF(OR(N18="",F18+G18=0),"",N18/(F18+G18)*1000)</f>
        <v/>
      </c>
    </row>
    <row r="19" customFormat="false" ht="15" hidden="false" customHeight="false" outlineLevel="0" collapsed="false">
      <c r="A19" s="21" t="s">
        <v>560</v>
      </c>
      <c r="B19" s="12"/>
      <c r="C19" s="12"/>
      <c r="D19" s="17"/>
      <c r="E19" s="17"/>
      <c r="F19" s="12"/>
      <c r="G19" s="12"/>
      <c r="H19" s="12"/>
      <c r="I19" s="26" t="str">
        <f aca="false">IF(F19="","",SUMPRODUCT($F$6:F19,$E$6:E19)*ThongSo!$B$6/3600)</f>
        <v/>
      </c>
      <c r="J19" s="12"/>
      <c r="K19" s="12"/>
      <c r="L19" s="18"/>
      <c r="M19" s="17"/>
      <c r="N19" s="18"/>
      <c r="O19" s="18" t="str">
        <f aca="false">IF(OR(N19="",F19+G19=0),"",N19/(F19+G19)*1000)</f>
        <v/>
      </c>
    </row>
    <row r="20" customFormat="false" ht="15" hidden="false" customHeight="false" outlineLevel="0" collapsed="false">
      <c r="A20" s="21" t="s">
        <v>561</v>
      </c>
      <c r="B20" s="12"/>
      <c r="C20" s="12"/>
      <c r="D20" s="17"/>
      <c r="E20" s="17"/>
      <c r="F20" s="12"/>
      <c r="G20" s="12"/>
      <c r="H20" s="12"/>
      <c r="I20" s="26" t="str">
        <f aca="false">IF(F20="","",SUMPRODUCT($F$6:F20,$E$6:E20)*ThongSo!$B$6/3600)</f>
        <v/>
      </c>
      <c r="J20" s="12"/>
      <c r="K20" s="12"/>
      <c r="L20" s="18"/>
      <c r="M20" s="17"/>
      <c r="N20" s="18"/>
      <c r="O20" s="18" t="str">
        <f aca="false">IF(OR(N20="",F20+G20=0),"",N20/(F20+G20)*1000)</f>
        <v/>
      </c>
    </row>
    <row r="21" customFormat="false" ht="15" hidden="false" customHeight="false" outlineLevel="0" collapsed="false">
      <c r="A21" s="21" t="s">
        <v>562</v>
      </c>
      <c r="B21" s="12"/>
      <c r="C21" s="12"/>
      <c r="D21" s="17"/>
      <c r="E21" s="17"/>
      <c r="F21" s="12"/>
      <c r="G21" s="12"/>
      <c r="H21" s="12"/>
      <c r="I21" s="26" t="str">
        <f aca="false">IF(F21="","",SUMPRODUCT($F$6:F21,$E$6:E21)*ThongSo!$B$6/3600)</f>
        <v/>
      </c>
      <c r="J21" s="12"/>
      <c r="K21" s="12"/>
      <c r="L21" s="18"/>
      <c r="M21" s="17"/>
      <c r="N21" s="18"/>
      <c r="O21" s="18" t="str">
        <f aca="false">IF(OR(N21="",F21+G21=0),"",N21/(F21+G21)*1000)</f>
        <v/>
      </c>
    </row>
    <row r="22" customFormat="false" ht="15" hidden="false" customHeight="false" outlineLevel="0" collapsed="false">
      <c r="A22" s="21" t="s">
        <v>563</v>
      </c>
      <c r="B22" s="12"/>
      <c r="C22" s="12"/>
      <c r="D22" s="17"/>
      <c r="E22" s="17"/>
      <c r="F22" s="12"/>
      <c r="G22" s="12"/>
      <c r="H22" s="12"/>
      <c r="I22" s="26" t="str">
        <f aca="false">IF(F22="","",SUMPRODUCT($F$6:F22,$E$6:E22)*ThongSo!$B$6/3600)</f>
        <v/>
      </c>
      <c r="J22" s="12"/>
      <c r="K22" s="12"/>
      <c r="L22" s="18"/>
      <c r="M22" s="17"/>
      <c r="N22" s="18"/>
      <c r="O22" s="18" t="str">
        <f aca="false">IF(OR(N22="",F22+G22=0),"",N22/(F22+G22)*1000)</f>
        <v/>
      </c>
    </row>
    <row r="23" customFormat="false" ht="15" hidden="false" customHeight="false" outlineLevel="0" collapsed="false">
      <c r="A23" s="21" t="s">
        <v>564</v>
      </c>
      <c r="B23" s="12"/>
      <c r="C23" s="12"/>
      <c r="D23" s="17"/>
      <c r="E23" s="17"/>
      <c r="F23" s="12"/>
      <c r="G23" s="12"/>
      <c r="H23" s="12"/>
      <c r="I23" s="26" t="str">
        <f aca="false">IF(F23="","",SUMPRODUCT($F$6:F23,$E$6:E23)*ThongSo!$B$6/3600)</f>
        <v/>
      </c>
      <c r="J23" s="12"/>
      <c r="K23" s="12"/>
      <c r="L23" s="18"/>
      <c r="M23" s="17"/>
      <c r="N23" s="18"/>
      <c r="O23" s="18" t="str">
        <f aca="false">IF(OR(N23="",F23+G23=0),"",N23/(F23+G23)*1000)</f>
        <v/>
      </c>
    </row>
    <row r="24" customFormat="false" ht="15" hidden="false" customHeight="false" outlineLevel="0" collapsed="false">
      <c r="A24" s="21" t="s">
        <v>565</v>
      </c>
      <c r="B24" s="12"/>
      <c r="C24" s="12"/>
      <c r="D24" s="17"/>
      <c r="E24" s="17"/>
      <c r="F24" s="12"/>
      <c r="G24" s="12"/>
      <c r="H24" s="12"/>
      <c r="I24" s="26" t="str">
        <f aca="false">IF(F24="","",SUMPRODUCT($F$6:F24,$E$6:E24)*ThongSo!$B$6/3600)</f>
        <v/>
      </c>
      <c r="J24" s="12"/>
      <c r="K24" s="12"/>
      <c r="L24" s="18"/>
      <c r="M24" s="17"/>
      <c r="N24" s="18"/>
      <c r="O24" s="18" t="str">
        <f aca="false">IF(OR(N24="",F24+G24=0),"",N24/(F24+G24)*1000)</f>
        <v/>
      </c>
    </row>
    <row r="25" customFormat="false" ht="15" hidden="false" customHeight="false" outlineLevel="0" collapsed="false">
      <c r="A25" s="21" t="s">
        <v>566</v>
      </c>
      <c r="B25" s="12"/>
      <c r="C25" s="12"/>
      <c r="D25" s="17"/>
      <c r="E25" s="17"/>
      <c r="F25" s="12"/>
      <c r="G25" s="12"/>
      <c r="H25" s="12"/>
      <c r="I25" s="26" t="str">
        <f aca="false">IF(F25="","",SUMPRODUCT($F$6:F25,$E$6:E25)*ThongSo!$B$6/3600)</f>
        <v/>
      </c>
      <c r="J25" s="12"/>
      <c r="K25" s="12"/>
      <c r="L25" s="18"/>
      <c r="M25" s="17"/>
      <c r="N25" s="18"/>
      <c r="O25" s="18" t="str">
        <f aca="false">IF(OR(N25="",F25+G25=0),"",N25/(F25+G25)*1000)</f>
        <v/>
      </c>
    </row>
    <row r="26" customFormat="false" ht="15" hidden="false" customHeight="false" outlineLevel="0" collapsed="false">
      <c r="A26" s="21" t="s">
        <v>567</v>
      </c>
      <c r="B26" s="12"/>
      <c r="C26" s="12"/>
      <c r="D26" s="17"/>
      <c r="E26" s="17"/>
      <c r="F26" s="12"/>
      <c r="G26" s="12"/>
      <c r="H26" s="12"/>
      <c r="I26" s="26" t="str">
        <f aca="false">IF(F26="","",SUMPRODUCT($F$6:F26,$E$6:E26)*ThongSo!$B$6/3600)</f>
        <v/>
      </c>
      <c r="J26" s="12"/>
      <c r="K26" s="12"/>
      <c r="L26" s="18"/>
      <c r="M26" s="17"/>
      <c r="N26" s="18"/>
      <c r="O26" s="18" t="str">
        <f aca="false">IF(OR(N26="",F26+G26=0),"",N26/(F26+G26)*1000)</f>
        <v/>
      </c>
    </row>
    <row r="27" customFormat="false" ht="15" hidden="false" customHeight="false" outlineLevel="0" collapsed="false">
      <c r="A27" s="21" t="s">
        <v>568</v>
      </c>
      <c r="B27" s="12"/>
      <c r="C27" s="12"/>
      <c r="D27" s="17"/>
      <c r="E27" s="17"/>
      <c r="F27" s="12"/>
      <c r="G27" s="12"/>
      <c r="H27" s="12"/>
      <c r="I27" s="26" t="str">
        <f aca="false">IF(F27="","",SUMPRODUCT($F$6:F27,$E$6:E27)*ThongSo!$B$6/3600)</f>
        <v/>
      </c>
      <c r="J27" s="12"/>
      <c r="K27" s="12"/>
      <c r="L27" s="18"/>
      <c r="M27" s="17"/>
      <c r="N27" s="18"/>
      <c r="O27" s="18" t="str">
        <f aca="false">IF(OR(N27="",F27+G27=0),"",N27/(F27+G27)*1000)</f>
        <v/>
      </c>
    </row>
    <row r="28" customFormat="false" ht="15" hidden="false" customHeight="false" outlineLevel="0" collapsed="false">
      <c r="A28" s="21" t="s">
        <v>569</v>
      </c>
      <c r="B28" s="12"/>
      <c r="C28" s="12"/>
      <c r="D28" s="17"/>
      <c r="E28" s="17"/>
      <c r="F28" s="12"/>
      <c r="G28" s="12"/>
      <c r="H28" s="12"/>
      <c r="I28" s="26" t="str">
        <f aca="false">IF(F28="","",SUMPRODUCT($F$6:F28,$E$6:E28)*ThongSo!$B$6/3600)</f>
        <v/>
      </c>
      <c r="J28" s="12"/>
      <c r="K28" s="12"/>
      <c r="L28" s="18"/>
      <c r="M28" s="17"/>
      <c r="N28" s="18"/>
      <c r="O28" s="18" t="str">
        <f aca="false">IF(OR(N28="",F28+G28=0),"",N28/(F28+G28)*1000)</f>
        <v/>
      </c>
    </row>
    <row r="29" customFormat="false" ht="15" hidden="false" customHeight="false" outlineLevel="0" collapsed="false">
      <c r="A29" s="21" t="s">
        <v>570</v>
      </c>
      <c r="B29" s="12"/>
      <c r="C29" s="12"/>
      <c r="D29" s="17"/>
      <c r="E29" s="17"/>
      <c r="F29" s="12"/>
      <c r="G29" s="12"/>
      <c r="H29" s="12"/>
      <c r="I29" s="26" t="str">
        <f aca="false">IF(F29="","",SUMPRODUCT($F$6:F29,$E$6:E29)*ThongSo!$B$6/3600)</f>
        <v/>
      </c>
      <c r="J29" s="12"/>
      <c r="K29" s="12"/>
      <c r="L29" s="18"/>
      <c r="M29" s="17"/>
      <c r="N29" s="18"/>
      <c r="O29" s="18" t="str">
        <f aca="false">IF(OR(N29="",F29+G29=0),"",N29/(F29+G29)*1000)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2026-10-13T08:46:49Z</dcterms:created>
  <dc:creator>openpyxl</dc:creator>
  <dc:description/>
  <dc:language>en-US</dc:language>
  <cp:lastModifiedBy/>
  <dcterms:modified xsi:type="dcterms:W3CDTF">2026-10-13T08:46:49Z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