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uongDan" sheetId="1" state="visible" r:id="rId3"/>
    <sheet name="ThongSo" sheetId="2" state="visible" r:id="rId4"/>
    <sheet name="CongCu" sheetId="3" state="visible" r:id="rId5"/>
    <sheet name="ChiPhiVideo" sheetId="4" state="visible" r:id="rId6"/>
    <sheet name="NangSuat" sheetId="5" state="visible" r:id="rId7"/>
    <sheet name="HoaVon" sheetId="6" state="visible" r:id="rId8"/>
    <sheet name="LichDang" sheetId="7" state="visible" r:id="rId9"/>
    <sheet name="TheoDoi" sheetId="8" state="visible" r:id="rId10"/>
    <sheet name="KP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5" authorId="0">
      <text>
        <r>
          <rPr>
            <sz val="10"/>
            <rFont val="Arial"/>
            <family val="2"/>
          </rPr>
          <t xml:space="preserve">Mục tiêu cuối: 4.000 giờ trước 31/01/2027 (cộng dồn).</t>
        </r>
      </text>
    </comment>
  </commentList>
</comments>
</file>

<file path=xl/sharedStrings.xml><?xml version="1.0" encoding="utf-8"?>
<sst xmlns="http://schemas.openxmlformats.org/spreadsheetml/2006/main" count="530" uniqueCount="446">
  <si>
    <t xml:space="preserve">Bảng tính ngân sách &amp; vận hành — Xưởng Video AI (thị trường Global)</t>
  </si>
  <si>
    <t xml:space="preserve">Phiên bản 12/10/2026. Giá công cụ là ảnh chụp tháng 9–10/2026 từ trang giá &amp; nguồn thứ cấp — xác nhận lại khi thanh toán.</t>
  </si>
  <si>
    <t xml:space="preserve">Quy ước màu</t>
  </si>
  <si>
    <t xml:space="preserve">Chữ xanh dương</t>
  </si>
  <si>
    <t xml:space="preserve">Ô nhập liệu / giả định — được phép sửa</t>
  </si>
  <si>
    <t xml:space="preserve">Nền vàng</t>
  </si>
  <si>
    <t xml:space="preserve">Giả định quan trọng nhất — nên rà lại trước khi trình bày</t>
  </si>
  <si>
    <t xml:space="preserve">Chữ đen</t>
  </si>
  <si>
    <t xml:space="preserve">Công thức — KHÔNG sửa tay</t>
  </si>
  <si>
    <t xml:space="preserve">Chữ xanh lá</t>
  </si>
  <si>
    <t xml:space="preserve">Công thức lấy dữ liệu từ sheet khác</t>
  </si>
  <si>
    <t xml:space="preserve">Các sheet</t>
  </si>
  <si>
    <t xml:space="preserve">ThongSo</t>
  </si>
  <si>
    <t xml:space="preserve">Mọi giả định đầu vào: tỷ giá, độ dài video, cấp chất lượng, đơn giá credit Veo 3.1</t>
  </si>
  <si>
    <t xml:space="preserve">CongCu</t>
  </si>
  <si>
    <t xml:space="preserve">Danh sách công cụ, giá/tháng và 3 gói ngân sách A (Thử nghiệm) – B (Tiêu chuẩn) – C (Mở rộng)</t>
  </si>
  <si>
    <t xml:space="preserve">ChiPhiVideo</t>
  </si>
  <si>
    <t xml:space="preserve">Khối lượng &amp; chi phí cho 1 video dài theo 3 cấp chất lượng; so sánh thuê bao vs API; chi phí trọn gói theo gói</t>
  </si>
  <si>
    <t xml:space="preserve">NangSuat</t>
  </si>
  <si>
    <t xml:space="preserve">Thời gian từng bước, năng lực sản xuất/ngày, trần đăng mỗi nền tảng</t>
  </si>
  <si>
    <t xml:space="preserve">HoaVon</t>
  </si>
  <si>
    <t xml:space="preserve">Điểm hoà vốn theo RPM &amp; mục tiêu đạt điều kiện kiếm tiền YouTube (YPP) trước 31/01/2027</t>
  </si>
  <si>
    <t xml:space="preserve">LichDang</t>
  </si>
  <si>
    <t xml:space="preserve">Khung giờ đăng theo giờ Việt Nam ↔ giờ New York (tự quy đổi)</t>
  </si>
  <si>
    <t xml:space="preserve">TheoDoi</t>
  </si>
  <si>
    <t xml:space="preserve">Bảng theo dõi sản xuất từng video (có danh sách chọn trạng thái)</t>
  </si>
  <si>
    <t xml:space="preserve">KPI</t>
  </si>
  <si>
    <t xml:space="preserve">Theo dõi KPI hằng tuần so với mục tiêu</t>
  </si>
  <si>
    <t xml:space="preserve">Cách dùng nhanh</t>
  </si>
  <si>
    <t xml:space="preserve">1) Sửa tỷ giá &amp; giá công cụ nếu thay đổi → 2) Chọn gói ở HoaVon!B9 → 3) Nhập lượt xem/RPM thực tế sau mỗi tuần.</t>
  </si>
  <si>
    <t xml:space="preserve">Thông số &amp; giả định đầu vào</t>
  </si>
  <si>
    <t xml:space="preserve">Chữ xanh dương = được sửa. Mọi sheet khác tính từ đây.</t>
  </si>
  <si>
    <t xml:space="preserve">Thông số</t>
  </si>
  <si>
    <t xml:space="preserve">Giá trị</t>
  </si>
  <si>
    <t xml:space="preserve">Đơn vị</t>
  </si>
  <si>
    <t xml:space="preserve">Ghi chú / nguồn</t>
  </si>
  <si>
    <t xml:space="preserve">Tỷ giá USD → VND</t>
  </si>
  <si>
    <t xml:space="preserve">VND/USD</t>
  </si>
  <si>
    <t xml:space="preserve">Giả định lập kế hoạch. Vietcombank bán ra 26.465 (02/07/2026). Cập nhật khi thanh toán.</t>
  </si>
  <si>
    <t xml:space="preserve">Độ dài 1 video dài</t>
  </si>
  <si>
    <t xml:space="preserve">giây</t>
  </si>
  <si>
    <t xml:space="preserve">10 phút. Tối thiểu 480 giây (8 phút) để chèn quảng cáo giữa video (mid-roll).</t>
  </si>
  <si>
    <t xml:space="preserve">Độ dài 1 clip AI</t>
  </si>
  <si>
    <t xml:space="preserve">Veo 3.1 tạo clip 4/6/8 giây; 1080p cần 8 giây.</t>
  </si>
  <si>
    <t xml:space="preserve">Thời lượng TB 1 ảnh tĩnh có chuyển động máy</t>
  </si>
  <si>
    <t xml:space="preserve">Ảnh tĩnh + hiệu ứng zoom/pan (Ken Burns) trong CapCut.</t>
  </si>
  <si>
    <t xml:space="preserve">Số ảnh phải tạo cho 1 ảnh dùng được</t>
  </si>
  <si>
    <t xml:space="preserve">lần</t>
  </si>
  <si>
    <t xml:space="preserve">Tỷ lệ chọn lọc ảnh.</t>
  </si>
  <si>
    <t xml:space="preserve">Số short cắt từ 1 video dài</t>
  </si>
  <si>
    <t xml:space="preserve">short</t>
  </si>
  <si>
    <t xml:space="preserve">Kịch bản viết dạng module 6–8 chương độc lập → chọn 5 chương mạnh nhất làm short. Khớp trần ~4 Shorts/ngày/kênh.</t>
  </si>
  <si>
    <t xml:space="preserve">Độ dài 1 short native (làm riêng dạng dọc)</t>
  </si>
  <si>
    <t xml:space="preserve">Hệ số làm lại clip cho short native</t>
  </si>
  <si>
    <t xml:space="preserve">Ký tự giọng đọc / phút</t>
  </si>
  <si>
    <t xml:space="preserve">ký tự</t>
  </si>
  <si>
    <t xml:space="preserve">≈150 từ tiếng Anh/phút × ~6 ký tự.</t>
  </si>
  <si>
    <t xml:space="preserve">Hệ số làm lại giọng đọc</t>
  </si>
  <si>
    <t xml:space="preserve">Đọc lại câu sai nhấn/sai tên riêng.</t>
  </si>
  <si>
    <t xml:space="preserve">Số ngày làm việc / tháng</t>
  </si>
  <si>
    <t xml:space="preserve">ngày</t>
  </si>
  <si>
    <t xml:space="preserve">Giờ làm hiệu quả / ngày / người</t>
  </si>
  <si>
    <t xml:space="preserve">giờ</t>
  </si>
  <si>
    <t xml:space="preserve">Cấp chất lượng video dài</t>
  </si>
  <si>
    <t xml:space="preserve">Tham số</t>
  </si>
  <si>
    <t xml:space="preserve">Tiết kiệm</t>
  </si>
  <si>
    <t xml:space="preserve">Tiêu chuẩn</t>
  </si>
  <si>
    <t xml:space="preserve">Cao cấp</t>
  </si>
  <si>
    <t xml:space="preserve">Ghi chú</t>
  </si>
  <si>
    <t xml:space="preserve">Tỷ lệ thời lượng là cảnh chuyển động AI</t>
  </si>
  <si>
    <t xml:space="preserve">Phần còn lại là ảnh tĩnh AI + chuyển động máy.</t>
  </si>
  <si>
    <t xml:space="preserve">Hệ số làm lại clip (tạo bao nhiêu để được 1 clip dùng)</t>
  </si>
  <si>
    <t xml:space="preserve">Thận trọng: cảnh càng điện ảnh càng phải tạo lại nhiều.</t>
  </si>
  <si>
    <t xml:space="preserve">Tỷ trọng Veo 3.1 Lite</t>
  </si>
  <si>
    <t xml:space="preserve">B-roll đơn giản: phong cảnh, vật thể.</t>
  </si>
  <si>
    <t xml:space="preserve">Tỷ trọng Veo 3.1 Fast</t>
  </si>
  <si>
    <t xml:space="preserve">Cảnh chính, có nhân vật.</t>
  </si>
  <si>
    <t xml:space="preserve">Tỷ trọng Veo 3.1 Quality</t>
  </si>
  <si>
    <t xml:space="preserve">Cảnh 'đinh' (hook, cao trào).</t>
  </si>
  <si>
    <t xml:space="preserve">Kiểm tra: tổng tỷ trọng model = 100%</t>
  </si>
  <si>
    <t xml:space="preserve">Đơn giá Veo 3.1 (credit Flow / clip 8 giây và API USD / giây)</t>
  </si>
  <si>
    <t xml:space="preserve">Model</t>
  </si>
  <si>
    <t xml:space="preserve">Credit/clip — Google AI Pro</t>
  </si>
  <si>
    <t xml:space="preserve">Credit/clip — Google AI Ultra</t>
  </si>
  <si>
    <t xml:space="preserve">API USD/giây (1080p, có âm thanh)</t>
  </si>
  <si>
    <t xml:space="preserve">Nguồn</t>
  </si>
  <si>
    <t xml:space="preserve">Veo 3.1 Lite</t>
  </si>
  <si>
    <t xml:space="preserve">diyai.io/ai-tools/video-generation/google-veo-pricing (cập nhật 20/09/2026); Gemini API pricing</t>
  </si>
  <si>
    <t xml:space="preserve">Veo 3.1 Fast</t>
  </si>
  <si>
    <t xml:space="preserve">Veo 3.1 Quality</t>
  </si>
  <si>
    <t xml:space="preserve">Credit Flow mỗi tháng theo gói Google AI</t>
  </si>
  <si>
    <t xml:space="preserve">Gói</t>
  </si>
  <si>
    <t xml:space="preserve">Credit tháng</t>
  </si>
  <si>
    <t xml:space="preserve">Credit/ngày (không cộng dồn)</t>
  </si>
  <si>
    <t xml:space="preserve">Tổng/tháng (dùng đủ 30 ngày)</t>
  </si>
  <si>
    <t xml:space="preserve">Google AI Pro</t>
  </si>
  <si>
    <t xml:space="preserve">US$19,99/tháng</t>
  </si>
  <si>
    <t xml:space="preserve">Google AI Ultra (5x)</t>
  </si>
  <si>
    <t xml:space="preserve">US$99,99/tháng (gói mới từ Google I/O 2026)</t>
  </si>
  <si>
    <t xml:space="preserve">Google AI Ultra (20x)</t>
  </si>
  <si>
    <t xml:space="preserve">US$199,99/tháng. Kiểm tra khả dụng tại VN khi đăng ký.</t>
  </si>
  <si>
    <t xml:space="preserve">Đơn giá khác</t>
  </si>
  <si>
    <t xml:space="preserve">Ảnh Nano Banana Pro qua API</t>
  </si>
  <si>
    <t xml:space="preserve">USD/ảnh</t>
  </si>
  <si>
    <t xml:space="preserve">Gemini 3 Pro Image, 1K–2K. Chỉ dùng cho tuyến API.</t>
  </si>
  <si>
    <t xml:space="preserve">Ảnh trong thuê bao Google AI (quy đổi)</t>
  </si>
  <si>
    <t xml:space="preserve">Đã gồm trong AI Pro/Ultra (có giới hạn theo ngày) → coi như 0.</t>
  </si>
  <si>
    <t xml:space="preserve">Giọng đọc ElevenLabs</t>
  </si>
  <si>
    <t xml:space="preserve">USD/1.000 ký tự</t>
  </si>
  <si>
    <t xml:space="preserve">Gói Pro US$99 / 600.000 credit (1 credit ≈ 1 ký tự với model đa ngôn ngữ).</t>
  </si>
  <si>
    <t xml:space="preserve">Claude API cho 1 video (tuyến API)</t>
  </si>
  <si>
    <t xml:space="preserve">USD/video</t>
  </si>
  <si>
    <t xml:space="preserve">Kịch bản + QC + SEO + chọn short. Opus 5.5: US$4/US$20 mỗi 1 triệu token vào/ra.</t>
  </si>
  <si>
    <t xml:space="preserve">Dự phòng phát sinh trên gói</t>
  </si>
  <si>
    <t xml:space="preserve">%</t>
  </si>
  <si>
    <t xml:space="preserve">Thuế, chênh tỷ giá, mua thêm credit.</t>
  </si>
  <si>
    <t xml:space="preserve">Bộ công cụ &amp; 3 gói ngân sách / tháng</t>
  </si>
  <si>
    <t xml:space="preserve">SL = số lượng thuê bao trong gói (0 = không dùng). Giá USD/tháng, trả theo tháng. Sora đã bị OpenAI khai tử (3/2026) nên không có trong danh sách.</t>
  </si>
  <si>
    <t xml:space="preserve">STT</t>
  </si>
  <si>
    <t xml:space="preserve">Công cụ</t>
  </si>
  <si>
    <t xml:space="preserve">Vai trò trong quy trình</t>
  </si>
  <si>
    <t xml:space="preserve">USD/tháng</t>
  </si>
  <si>
    <t xml:space="preserve">Quyền thương mại / lưu ý</t>
  </si>
  <si>
    <t xml:space="preserve">SL gói A (Thử nghiệm)</t>
  </si>
  <si>
    <t xml:space="preserve">SL gói B (Tiêu chuẩn)</t>
  </si>
  <si>
    <t xml:space="preserve">SL gói C (Mở rộng)</t>
  </si>
  <si>
    <t xml:space="preserve">Claude</t>
  </si>
  <si>
    <t xml:space="preserve">Bộ não: nghiên cứu, kịch bản, prompt hình/video, SEO, QC tiếng Anh</t>
  </si>
  <si>
    <t xml:space="preserve">Pro</t>
  </si>
  <si>
    <t xml:space="preserve">Đầu ra thuộc về người dùng theo điều khoản Anthropic</t>
  </si>
  <si>
    <t xml:space="preserve">Như trên, hạn mức ×5 + Claude Code chạy tự động hoá</t>
  </si>
  <si>
    <t xml:space="preserve">Max 5x</t>
  </si>
  <si>
    <t xml:space="preserve">Như trên, hạn mức ×20 cho 2 người vận hành</t>
  </si>
  <si>
    <t xml:space="preserve">Max 20x</t>
  </si>
  <si>
    <t xml:space="preserve">Claude API (Console)</t>
  </si>
  <si>
    <t xml:space="preserve">Tool tự cắt short, xử lý hàng loạt</t>
  </si>
  <si>
    <t xml:space="preserve">Trả theo dùng</t>
  </si>
  <si>
    <t xml:space="preserve">Ước tính; ~US$0,05–1/video</t>
  </si>
  <si>
    <t xml:space="preserve">Google AI (Flow + Gemini)</t>
  </si>
  <si>
    <t xml:space="preserve">Veo 3.1 tạo video + Nano Banana Pro tạo ảnh</t>
  </si>
  <si>
    <t xml:space="preserve">AI Pro</t>
  </si>
  <si>
    <t xml:space="preserve">1.000 credit Flow/tháng + 50/ngày</t>
  </si>
  <si>
    <t xml:space="preserve">Veo 3.1 sản lượng lớn + Nano Banana Pro</t>
  </si>
  <si>
    <t xml:space="preserve">AI Ultra 20x</t>
  </si>
  <si>
    <t xml:space="preserve">25.000 credit/tháng + 50/ngày; kiểm tra khả dụng tại VN</t>
  </si>
  <si>
    <t xml:space="preserve">Kling AI</t>
  </si>
  <si>
    <t xml:space="preserve">Dự phòng: cảnh dài, điều khiển chuyển động/nhân vật</t>
  </si>
  <si>
    <t xml:space="preserve">Standard</t>
  </si>
  <si>
    <t xml:space="preserve">Chỉ gói trả phí được dùng thương mại</t>
  </si>
  <si>
    <t xml:space="preserve">Như trên</t>
  </si>
  <si>
    <t xml:space="preserve">ElevenLabs</t>
  </si>
  <si>
    <t xml:space="preserve">Giọng đọc tiếng Anh, lồng tiếng đa ngôn ngữ</t>
  </si>
  <si>
    <t xml:space="preserve">Creator</t>
  </si>
  <si>
    <t xml:space="preserve">~121 phút/tháng; tháng đầu US$11</t>
  </si>
  <si>
    <t xml:space="preserve">~600 phút/tháng</t>
  </si>
  <si>
    <t xml:space="preserve">CapCut</t>
  </si>
  <si>
    <t xml:space="preserve">Dựng, phụ đề tự động, template, auto-reframe</t>
  </si>
  <si>
    <t xml:space="preserve">≈220–290 nghìn ₫/tháng tại VN; mua chính hãng</t>
  </si>
  <si>
    <t xml:space="preserve">Suno</t>
  </si>
  <si>
    <t xml:space="preserve">Nhạc chủ đề riêng của kênh</t>
  </si>
  <si>
    <t xml:space="preserve">Từ gói Pro mới có quyền thương mại</t>
  </si>
  <si>
    <t xml:space="preserve">Như trên + tách stem</t>
  </si>
  <si>
    <t xml:space="preserve">Premier</t>
  </si>
  <si>
    <t xml:space="preserve">OpusClip</t>
  </si>
  <si>
    <t xml:space="preserve">Cắt short tự động (có thể thay bằng tool Claude trong repo)</t>
  </si>
  <si>
    <t xml:space="preserve">300 phút xử lý/tháng</t>
  </si>
  <si>
    <t xml:space="preserve">YouTube Audio Library</t>
  </si>
  <si>
    <t xml:space="preserve">Nhạc nền &amp; hiệu ứng âm thanh miễn phí, an toàn bản quyền</t>
  </si>
  <si>
    <t xml:space="preserve">Miễn phí</t>
  </si>
  <si>
    <t xml:space="preserve">Cộng thuê bao (USD/tháng)</t>
  </si>
  <si>
    <t xml:space="preserve">Dự phòng phát sinh</t>
  </si>
  <si>
    <t xml:space="preserve">TỔNG GÓI (USD/tháng)</t>
  </si>
  <si>
    <t xml:space="preserve">TỔNG GÓI (VND/tháng)</t>
  </si>
  <si>
    <t xml:space="preserve">Chi phí cho 1 video dài (10 phút) theo cấp chất lượng</t>
  </si>
  <si>
    <t xml:space="preserve">Tất cả là công thức từ ThongSo &amp; CongCu. Đơn vị USD trừ khi ghi khác.</t>
  </si>
  <si>
    <t xml:space="preserve">Hạng mục</t>
  </si>
  <si>
    <t xml:space="preserve">Cách tính</t>
  </si>
  <si>
    <t xml:space="preserve">A. Khối lượng sản xuất cho 1 video dài</t>
  </si>
  <si>
    <t xml:space="preserve">Giây video AI chuyển động cần dùng</t>
  </si>
  <si>
    <t xml:space="preserve">Độ dài × tỷ lệ cảnh chuyển động</t>
  </si>
  <si>
    <t xml:space="preserve">Số clip 8 giây dùng trong video</t>
  </si>
  <si>
    <t xml:space="preserve">Số clip phải tạo (gồm làm lại)</t>
  </si>
  <si>
    <t xml:space="preserve">× hệ số làm lại</t>
  </si>
  <si>
    <t xml:space="preserve">Credit TB / clip — gói Ultra</t>
  </si>
  <si>
    <t xml:space="preserve">Bình quân theo tỷ trọng Lite/Fast/Quality</t>
  </si>
  <si>
    <t xml:space="preserve">Credit TB / clip — gói Pro</t>
  </si>
  <si>
    <t xml:space="preserve">Credit Flow / video — gói Ultra</t>
  </si>
  <si>
    <t xml:space="preserve">Credit Flow / video — gói Pro</t>
  </si>
  <si>
    <t xml:space="preserve">Số ảnh tĩnh dùng</t>
  </si>
  <si>
    <t xml:space="preserve">Số ảnh keyframe (làm đầu vào image-to-video)</t>
  </si>
  <si>
    <t xml:space="preserve">1 ảnh / clip để giữ nhất quán nhân vật</t>
  </si>
  <si>
    <t xml:space="preserve">Tổng ảnh phải tạo</t>
  </si>
  <si>
    <t xml:space="preserve">Ký tự giọng đọc (gồm đọc lại)</t>
  </si>
  <si>
    <t xml:space="preserve">B. Chi phí biến đổi — tuyến THUÊ BAO (đề xuất)</t>
  </si>
  <si>
    <t xml:space="preserve">Video (credit × giá trị 1 credit gói Ultra 20x)</t>
  </si>
  <si>
    <t xml:space="preserve">US$199,99 / 26.500 credit</t>
  </si>
  <si>
    <t xml:space="preserve">Ảnh</t>
  </si>
  <si>
    <t xml:space="preserve">Đã gồm trong thuê bao</t>
  </si>
  <si>
    <t xml:space="preserve">Giọng đọc</t>
  </si>
  <si>
    <t xml:space="preserve">Cộng biến đổi / video dài (USD)</t>
  </si>
  <si>
    <t xml:space="preserve">Cộng biến đổi / video dài (VND)</t>
  </si>
  <si>
    <t xml:space="preserve">C. Chi phí — tuyến API trả theo lượt (tham chiếu, KHÔNG khuyến nghị)</t>
  </si>
  <si>
    <t xml:space="preserve">Video (giây tạo × giá API bình quân)</t>
  </si>
  <si>
    <t xml:space="preserve">Veo 3.1 Gemini API</t>
  </si>
  <si>
    <t xml:space="preserve">Ảnh (Nano Banana Pro API)</t>
  </si>
  <si>
    <t xml:space="preserve">Claude API</t>
  </si>
  <si>
    <t xml:space="preserve">Cộng / video dài (USD)</t>
  </si>
  <si>
    <t xml:space="preserve">Cộng / video dài (VND)</t>
  </si>
  <si>
    <t xml:space="preserve">API đắt gấp bao nhiêu lần thuê bao</t>
  </si>
  <si>
    <t xml:space="preserve">Lý do chọn thuê bao</t>
  </si>
  <si>
    <t xml:space="preserve">D. Chi phí TRỌN GÓI theo gói ngân sách (đã gồm mọi công cụ cố định)</t>
  </si>
  <si>
    <t xml:space="preserve">Chỉ tiêu</t>
  </si>
  <si>
    <t xml:space="preserve">A</t>
  </si>
  <si>
    <t xml:space="preserve">B</t>
  </si>
  <si>
    <t xml:space="preserve">C</t>
  </si>
  <si>
    <t xml:space="preserve">Tên gói</t>
  </si>
  <si>
    <t xml:space="preserve">Thử nghiệm</t>
  </si>
  <si>
    <t xml:space="preserve">Mở rộng</t>
  </si>
  <si>
    <t xml:space="preserve">Cấp chất lượng áp dụng</t>
  </si>
  <si>
    <t xml:space="preserve">Gõ đúng: Tiết kiệm / Tiêu chuẩn / Cao cấp</t>
  </si>
  <si>
    <t xml:space="preserve">Loại gói Google AI</t>
  </si>
  <si>
    <t xml:space="preserve">Ultra</t>
  </si>
  <si>
    <t xml:space="preserve">Số video dài / tháng</t>
  </si>
  <si>
    <t xml:space="preserve">A: thử 1–4 tuần. B: 1 video/ngày làm việc. C: 2 người, 2 kênh hoặc 1 kênh + lồng tiếng.</t>
  </si>
  <si>
    <t xml:space="preserve">Số short cắt từ video dài</t>
  </si>
  <si>
    <t xml:space="preserve">Số short native / tháng</t>
  </si>
  <si>
    <t xml:space="preserve">Tổng sản phẩm đăng / tháng</t>
  </si>
  <si>
    <t xml:space="preserve">Credit Flow cần / tháng</t>
  </si>
  <si>
    <t xml:space="preserve">Video dài × credit/video + short native × credit/short (Veo Fast)</t>
  </si>
  <si>
    <t xml:space="preserve">Credit Flow có / tháng</t>
  </si>
  <si>
    <t xml:space="preserve">Kiểm tra đủ credit</t>
  </si>
  <si>
    <t xml:space="preserve">Chi phí gói / tháng (USD)</t>
  </si>
  <si>
    <t xml:space="preserve">Chi phí gói / tháng (VND)</t>
  </si>
  <si>
    <t xml:space="preserve">Chi phí trọn gói / 1 video dài + các short của nó (USD)</t>
  </si>
  <si>
    <t xml:space="preserve">Chi phí trọn gói / 1 video dài (VND)</t>
  </si>
  <si>
    <t xml:space="preserve">Chi phí bình quân / 1 sản phẩm đăng (USD)</t>
  </si>
  <si>
    <t xml:space="preserve">Chi phí bình quân / 1 sản phẩm đăng (VND)</t>
  </si>
  <si>
    <t xml:space="preserve">Năng suất: thời gian từng bước &amp; năng lực / ngày</t>
  </si>
  <si>
    <t xml:space="preserve">Phút thao tác của 1 người vận hành cho 1 video dài 10 phút cấp Tiêu chuẩn.</t>
  </si>
  <si>
    <t xml:space="preserve">Bước</t>
  </si>
  <si>
    <t xml:space="preserve">Công cụ chính</t>
  </si>
  <si>
    <t xml:space="preserve">Phút — tháng đầu</t>
  </si>
  <si>
    <t xml:space="preserve">Phút — thành thạo (từ tháng 2)</t>
  </si>
  <si>
    <t xml:space="preserve">Chọn chủ đề &amp; nghiên cứu nguồn</t>
  </si>
  <si>
    <t xml:space="preserve">Claude (web search) + vidIQ</t>
  </si>
  <si>
    <t xml:space="preserve">Claude lập dàn ý + nguồn kiểm chứng</t>
  </si>
  <si>
    <t xml:space="preserve">Kịch bản module + shot list + prompt</t>
  </si>
  <si>
    <t xml:space="preserve">Claude (skill kich-ban-video)</t>
  </si>
  <si>
    <t xml:space="preserve">Xuất 1 lần: lời thoại, cảnh, prompt ảnh/video</t>
  </si>
  <si>
    <t xml:space="preserve">CỔNG 1 — duyệt kịch bản</t>
  </si>
  <si>
    <t xml:space="preserve">Người + Claude (skill qc-video)</t>
  </si>
  <si>
    <t xml:space="preserve">Checklist cổng 1</t>
  </si>
  <si>
    <t xml:space="preserve">Từ điển phát âm tên riêng</t>
  </si>
  <si>
    <t xml:space="preserve">Ảnh nhân vật / keyframe</t>
  </si>
  <si>
    <t xml:space="preserve">Nano Banana Pro (Gemini/Flow)</t>
  </si>
  <si>
    <t xml:space="preserve">Dùng ảnh tham chiếu cố định</t>
  </si>
  <si>
    <t xml:space="preserve">Tạo clip video</t>
  </si>
  <si>
    <t xml:space="preserve">Veo 3.1 (Flow) / Kling</t>
  </si>
  <si>
    <t xml:space="preserve">Phần lớn là chờ — xếp hàng song song</t>
  </si>
  <si>
    <t xml:space="preserve">Dựng: ráp, phụ đề, nhạc, hiệu ứng</t>
  </si>
  <si>
    <t xml:space="preserve">CapCut Pro (template kênh)</t>
  </si>
  <si>
    <t xml:space="preserve">Phụ đề lấy từ kịch bản, không gõ tay</t>
  </si>
  <si>
    <t xml:space="preserve">Thumbnail + tiêu đề + mô tả + chapter</t>
  </si>
  <si>
    <t xml:space="preserve">Nano Banana Pro + Claude (skill seo-xuat-ban)</t>
  </si>
  <si>
    <t xml:space="preserve">3 phương án thumbnail để A/B test</t>
  </si>
  <si>
    <t xml:space="preserve">CỔNG 2 — QC video, xuất, lên lịch</t>
  </si>
  <si>
    <t xml:space="preserve">Người + checklist</t>
  </si>
  <si>
    <t xml:space="preserve">Bật nhãn nội dung AI khi cần</t>
  </si>
  <si>
    <t xml:space="preserve">Tổng phút / 1 video dài</t>
  </si>
  <si>
    <t xml:space="preserve">Tổng giờ / 1 video dài</t>
  </si>
  <si>
    <t xml:space="preserve">Cắt toàn bộ short từ 1 video dài (duyệt + lên lịch 4 nền tảng)</t>
  </si>
  <si>
    <t xml:space="preserve">Tool Claude cat_short.py / OpusClip</t>
  </si>
  <si>
    <t xml:space="preserve">1 short native (làm riêng dạng dọc 9:16)</t>
  </si>
  <si>
    <t xml:space="preserve">Claude + Veo 3.1 + CapCut</t>
  </si>
  <si>
    <t xml:space="preserve">Năng lực 1 người / ngày</t>
  </si>
  <si>
    <t xml:space="preserve">Phút làm việc hiệu quả / ngày</t>
  </si>
  <si>
    <t xml:space="preserve">Số video dài tối đa / ngày (kèm cắt short)</t>
  </si>
  <si>
    <t xml:space="preserve">Kịch bản sản lượng / ngày (1 người)</t>
  </si>
  <si>
    <t xml:space="preserve">Kịch bản</t>
  </si>
  <si>
    <t xml:space="preserve">Video dài / ngày</t>
  </si>
  <si>
    <t xml:space="preserve">Short cắt / ngày</t>
  </si>
  <si>
    <t xml:space="preserve">Short native / ngày</t>
  </si>
  <si>
    <t xml:space="preserve">Phút cần (theo mức thành thạo tương ứng)</t>
  </si>
  <si>
    <t xml:space="preserve">Tỷ lệ dùng</t>
  </si>
  <si>
    <t xml:space="preserve">TỐI THIỂU — tuần 1–4 (đang học, mức tháng đầu)</t>
  </si>
  <si>
    <t xml:space="preserve">TIÊU CHUẨN — từ tháng 2</t>
  </si>
  <si>
    <t xml:space="preserve">TỐI ĐA — 1 người thành thạo, có kho dự trữ</t>
  </si>
  <si>
    <t xml:space="preserve">Tỷ lệ sử dụng thời gian (Phút cần / phút có)</t>
  </si>
  <si>
    <t xml:space="preserve">Trần đăng khuyến nghị / 1 kênh / ngày (đăng nhiều hơn → rủi ro bị coi là 'sản xuất hàng loạt')</t>
  </si>
  <si>
    <t xml:space="preserve">Nền tảng</t>
  </si>
  <si>
    <t xml:space="preserve">Loại</t>
  </si>
  <si>
    <t xml:space="preserve">Tối thiểu</t>
  </si>
  <si>
    <t xml:space="preserve">Tối đa</t>
  </si>
  <si>
    <t xml:space="preserve">YouTube</t>
  </si>
  <si>
    <t xml:space="preserve">Video dài 16:9</t>
  </si>
  <si>
    <t xml:space="preserve">3/tuần</t>
  </si>
  <si>
    <t xml:space="preserve">1/ngày</t>
  </si>
  <si>
    <t xml:space="preserve">Ưu tiên đều đặn, cùng khung giờ</t>
  </si>
  <si>
    <t xml:space="preserve">Shorts 9:16</t>
  </si>
  <si>
    <t xml:space="preserve">4/ngày</t>
  </si>
  <si>
    <t xml:space="preserve">Short cắt + short native; gói B ≈ 4/ngày</t>
  </si>
  <si>
    <t xml:space="preserve">TikTok</t>
  </si>
  <si>
    <t xml:space="preserve">Video dọc</t>
  </si>
  <si>
    <t xml:space="preserve">3/ngày</t>
  </si>
  <si>
    <t xml:space="preserve">Kênh kéo traffic; tài khoản VN chưa có Creator Rewards</t>
  </si>
  <si>
    <t xml:space="preserve">Facebook</t>
  </si>
  <si>
    <t xml:space="preserve">Reels</t>
  </si>
  <si>
    <t xml:space="preserve">2/ngày</t>
  </si>
  <si>
    <t xml:space="preserve">Kiểm tra quyền kiếm tiền trong Meta Business Suite</t>
  </si>
  <si>
    <t xml:space="preserve">Instagram</t>
  </si>
  <si>
    <t xml:space="preserve">Kéo traffic, xây thương hiệu</t>
  </si>
  <si>
    <t xml:space="preserve">Điểm hoà vốn &amp; mục tiêu kiếm tiền YouTube (YPP)</t>
  </si>
  <si>
    <t xml:space="preserve">Doanh thu quảng cáo chỉ phát sinh SAU khi kênh vào YPP. RPM = doanh thu thực nhận / 1.000 lượt xem.</t>
  </si>
  <si>
    <t xml:space="preserve">RPM video dài (tiếng Anh, khán giả toàn cầu)</t>
  </si>
  <si>
    <t xml:space="preserve">USD</t>
  </si>
  <si>
    <t xml:space="preserve">Giả định thận trọng. Giáo dục &amp; Khoa học: trung vị US$10,22 (AIR Media-Tech, 300 kênh, 5/2025–5/2026); Lịch sử ước tính US$5–12.</t>
  </si>
  <si>
    <t xml:space="preserve">RPM Shorts</t>
  </si>
  <si>
    <t xml:space="preserve">Phổ biến US$0,03–0,10 (nhiều nguồn 2026).</t>
  </si>
  <si>
    <t xml:space="preserve">Lượt xem TB / video dài / tháng</t>
  </si>
  <si>
    <t xml:space="preserve">lượt</t>
  </si>
  <si>
    <t xml:space="preserve">Nhập số thực tế từ YouTube Studio sau mỗi tháng.</t>
  </si>
  <si>
    <t xml:space="preserve">Lượt xem TB / short / tháng</t>
  </si>
  <si>
    <t xml:space="preserve">Gói đang dùng (A/B/C)</t>
  </si>
  <si>
    <t xml:space="preserve">Gõ A, B hoặc C</t>
  </si>
  <si>
    <t xml:space="preserve">Chi phí nhân sự / tháng</t>
  </si>
  <si>
    <t xml:space="preserve">VND</t>
  </si>
  <si>
    <t xml:space="preserve">GIẢ ĐỊNH — thay bằng số thực tế (lương + bảo hiểm).</t>
  </si>
  <si>
    <t xml:space="preserve">Kết quả theo tháng (khi đã bật kiếm tiền)</t>
  </si>
  <si>
    <t xml:space="preserve">Chi phí công cụ / tháng (USD)</t>
  </si>
  <si>
    <t xml:space="preserve">Chi phí nhân sự / tháng (USD)</t>
  </si>
  <si>
    <t xml:space="preserve">Tổng chi phí / tháng (USD)</t>
  </si>
  <si>
    <t xml:space="preserve">Số short / tháng</t>
  </si>
  <si>
    <t xml:space="preserve">Doanh thu video dài (USD)</t>
  </si>
  <si>
    <t xml:space="preserve">Doanh thu Shorts (USD)</t>
  </si>
  <si>
    <t xml:space="preserve">Tổng doanh thu (USD)</t>
  </si>
  <si>
    <t xml:space="preserve">Lãi / lỗ (USD)</t>
  </si>
  <si>
    <t xml:space="preserve">Lãi / lỗ (VND)</t>
  </si>
  <si>
    <t xml:space="preserve">Lượt xem / video dài để hoà vốn TOÀN BỘ (gồm nhân sự)</t>
  </si>
  <si>
    <t xml:space="preserve">Lượt xem / video dài để hoà vốn CÔNG CỤ</t>
  </si>
  <si>
    <t xml:space="preserve">Mục tiêu đạt YPP theo ngưỡng cũ trước 31/01/2027</t>
  </si>
  <si>
    <t xml:space="preserve">Hạn chót nộp YPP theo ngưỡng cũ</t>
  </si>
  <si>
    <t xml:space="preserve">Từ 01/02/2027 kênh mới cần 8.000 giờ xem hoặc 20 triệu view Shorts (YouTube công bố 10/08/2026 — theo TechTimes &amp; nhiều nguồn; xác nhận trên blog YouTube).</t>
  </si>
  <si>
    <t xml:space="preserve">Ngày đăng video đầu tiên</t>
  </si>
  <si>
    <t xml:space="preserve">Review 14/10 → tuần chuẩn bị 15–21/10 (gói A, 2 video thử) → ra mắt 22/10.</t>
  </si>
  <si>
    <t xml:space="preserve">Số video dài đăng / tuần (bình quân)</t>
  </si>
  <si>
    <t xml:space="preserve">video</t>
  </si>
  <si>
    <t xml:space="preserve">Tuần đầu 3, sau đó 4–5.</t>
  </si>
  <si>
    <t xml:space="preserve">Thời lượng xem TB / lượt (AVD)</t>
  </si>
  <si>
    <t xml:space="preserve">phút</t>
  </si>
  <si>
    <t xml:space="preserve">≈40% của video 10 phút — mục tiêu chất lượng.</t>
  </si>
  <si>
    <t xml:space="preserve">Giờ xem công khai cần</t>
  </si>
  <si>
    <t xml:space="preserve">Ngưỡng hiện hành (12 tháng gần nhất). Kèm 1.000 người đăng ký.</t>
  </si>
  <si>
    <t xml:space="preserve">Số tuần còn lại để đạt mục tiêu</t>
  </si>
  <si>
    <t xml:space="preserve">Số video dài sẽ đăng đến hạn</t>
  </si>
  <si>
    <t xml:space="preserve">Tổng lượt xem video dài cần</t>
  </si>
  <si>
    <t xml:space="preserve">Lượt xem TB cần / video dài (trong giai đoạn đến hạn)</t>
  </si>
  <si>
    <t xml:space="preserve">Khung giờ đăng — giờ Việt Nam ↔ giờ New York (ET)</t>
  </si>
  <si>
    <t xml:space="preserve">Mỹ đổi giờ mùa đông 01/11/2026 → chênh 12 giờ (đến 14/03/2027); mùa hè chênh 11 giờ. Mọi bài đều HẸN GIỜ, không cần thức đêm.</t>
  </si>
  <si>
    <t xml:space="preserve">Chênh lệch giờ VN − ET (giờ)</t>
  </si>
  <si>
    <t xml:space="preserve">Chênh lệch giờ VN − CET/Paris (giờ)</t>
  </si>
  <si>
    <t xml:space="preserve">Giờ đăng (giờ VN)</t>
  </si>
  <si>
    <t xml:space="preserve">Giờ New York (ET)</t>
  </si>
  <si>
    <t xml:space="preserve">Giờ Paris (CET)</t>
  </si>
  <si>
    <t xml:space="preserve">Tần suất</t>
  </si>
  <si>
    <t xml:space="preserve">Lý do</t>
  </si>
  <si>
    <t xml:space="preserve">Video dài</t>
  </si>
  <si>
    <t xml:space="preserve">4–5/tuần (T2–T6)</t>
  </si>
  <si>
    <t xml:space="preserve">14:00 ET: trước giờ cao điểm tối Mỹ, đúng giờ tối châu Âu</t>
  </si>
  <si>
    <t xml:space="preserve">Short #1</t>
  </si>
  <si>
    <t xml:space="preserve">Hằng ngày</t>
  </si>
  <si>
    <t xml:space="preserve">Sáng Mỹ / chiều châu Âu</t>
  </si>
  <si>
    <t xml:space="preserve">Short #2</t>
  </si>
  <si>
    <t xml:space="preserve">Trưa Mỹ / tối châu Âu</t>
  </si>
  <si>
    <t xml:space="preserve">Short #3</t>
  </si>
  <si>
    <t xml:space="preserve">Tối Mỹ (cao điểm)</t>
  </si>
  <si>
    <t xml:space="preserve">Short #4</t>
  </si>
  <si>
    <t xml:space="preserve">Hằng ngày (gói B)</t>
  </si>
  <si>
    <t xml:space="preserve">Trưa sớm Mỹ / chiều tối châu Âu</t>
  </si>
  <si>
    <t xml:space="preserve">Short</t>
  </si>
  <si>
    <t xml:space="preserve">1–2/ngày</t>
  </si>
  <si>
    <t xml:space="preserve">18:00 ET</t>
  </si>
  <si>
    <t xml:space="preserve">Tuỳ chọn</t>
  </si>
  <si>
    <t xml:space="preserve">20:00 ET</t>
  </si>
  <si>
    <t xml:space="preserve">12:00 ET / 18:00 Paris</t>
  </si>
  <si>
    <t xml:space="preserve">19:30 ET</t>
  </si>
  <si>
    <t xml:space="preserve">Theo dõi sản xuất từng video</t>
  </si>
  <si>
    <t xml:space="preserve">Mỗi dòng = 1 video dài. Chọn trạng thái từ danh sách. Dòng 5 là VÍ DỤ — xoá khi dùng thật.</t>
  </si>
  <si>
    <t xml:space="preserve">Mã video</t>
  </si>
  <si>
    <t xml:space="preserve">Chủ đề (EN)</t>
  </si>
  <si>
    <t xml:space="preserve">Cấp</t>
  </si>
  <si>
    <t xml:space="preserve">Ngày giao</t>
  </si>
  <si>
    <t xml:space="preserve">CỔNG 1</t>
  </si>
  <si>
    <t xml:space="preserve">Hình ảnh</t>
  </si>
  <si>
    <t xml:space="preserve">Clip video</t>
  </si>
  <si>
    <t xml:space="preserve">Dựng</t>
  </si>
  <si>
    <t xml:space="preserve">CỔNG 2</t>
  </si>
  <si>
    <t xml:space="preserve">Ngày đăng</t>
  </si>
  <si>
    <t xml:space="preserve">Link YouTube</t>
  </si>
  <si>
    <t xml:space="preserve">Số short đã cắt</t>
  </si>
  <si>
    <t xml:space="preserve">Lỗi phát hiện ở Cổng 2</t>
  </si>
  <si>
    <t xml:space="preserve">Nguyên nhân gốc → đã sửa Bible/Template?</t>
  </si>
  <si>
    <t xml:space="preserve">V001</t>
  </si>
  <si>
    <t xml:space="preserve">The Lost City of Ubar</t>
  </si>
  <si>
    <t xml:space="preserve">Xong</t>
  </si>
  <si>
    <t xml:space="preserve">Đạt</t>
  </si>
  <si>
    <t xml:space="preserve">Đang làm</t>
  </si>
  <si>
    <t xml:space="preserve">Chưa làm</t>
  </si>
  <si>
    <t xml:space="preserve">KPI hằng tuần</t>
  </si>
  <si>
    <t xml:space="preserve">Nhập số liệu từ YouTube Studio mỗi thứ Hai. Dòng 'Mục tiêu' có thể chỉnh. Dòng tuần 1 là VÍ DỤ.</t>
  </si>
  <si>
    <t xml:space="preserve">Tuần</t>
  </si>
  <si>
    <t xml:space="preserve">Video dài đã đăng</t>
  </si>
  <si>
    <t xml:space="preserve">Short đã đăng (tất cả nền tảng)</t>
  </si>
  <si>
    <t xml:space="preserve">CTR thumbnail</t>
  </si>
  <si>
    <t xml:space="preserve">AVD (% thời lượng)</t>
  </si>
  <si>
    <t xml:space="preserve">Lượt xem video dài</t>
  </si>
  <si>
    <t xml:space="preserve">Lượt xem Shorts</t>
  </si>
  <si>
    <t xml:space="preserve">Người đăng ký mới</t>
  </si>
  <si>
    <t xml:space="preserve">Giờ xem tích luỹ</t>
  </si>
  <si>
    <t xml:space="preserve">% video phải sửa sau Cổng 2</t>
  </si>
  <si>
    <t xml:space="preserve">Chi phí tuần (USD)</t>
  </si>
  <si>
    <t xml:space="preserve">Chi phí / 1.000 lượt xem (USD)</t>
  </si>
  <si>
    <t xml:space="preserve">Mục tiêu</t>
  </si>
  <si>
    <t xml:space="preserve">Tuần 1</t>
  </si>
  <si>
    <t xml:space="preserve">Tuần 2</t>
  </si>
  <si>
    <t xml:space="preserve">Tuần 3</t>
  </si>
  <si>
    <t xml:space="preserve">Tuần 4</t>
  </si>
  <si>
    <t xml:space="preserve">Tuần 5</t>
  </si>
  <si>
    <t xml:space="preserve">Tuần 6</t>
  </si>
  <si>
    <t xml:space="preserve">Tuần 7</t>
  </si>
  <si>
    <t xml:space="preserve">Tuần 8</t>
  </si>
  <si>
    <t xml:space="preserve">Tuần 9</t>
  </si>
  <si>
    <t xml:space="preserve">Tuần 10</t>
  </si>
  <si>
    <t xml:space="preserve">Tuần 11</t>
  </si>
  <si>
    <t xml:space="preserve">Tuần 12</t>
  </si>
  <si>
    <t xml:space="preserve">Tuần 13</t>
  </si>
  <si>
    <t xml:space="preserve">Tuần 14</t>
  </si>
  <si>
    <t xml:space="preserve">Tuần 15</t>
  </si>
  <si>
    <t xml:space="preserve">Tuần 16</t>
  </si>
  <si>
    <t xml:space="preserve">Tuần 17</t>
  </si>
  <si>
    <t xml:space="preserve">Tuần 18</t>
  </si>
  <si>
    <t xml:space="preserve">Tuần 19</t>
  </si>
  <si>
    <t xml:space="preserve">Tuần 20</t>
  </si>
  <si>
    <t xml:space="preserve">Tuần 21</t>
  </si>
  <si>
    <t xml:space="preserve">Tuần 22</t>
  </si>
  <si>
    <t xml:space="preserve">Tuần 23</t>
  </si>
  <si>
    <t xml:space="preserve">Tuần 24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</si>
</sst>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#,##0.0;\(#,##0.0\);\-"/>
    <numFmt numFmtId="167" formatCode="0.0%;\(0.0%\);\-"/>
    <numFmt numFmtId="168" formatCode="\$#,##0.00;&quot;($&quot;#,##0.00\);\-"/>
    <numFmt numFmtId="169" formatCode="0.000"/>
    <numFmt numFmtId="170" formatCode="#,##0&quot; ₫&quot;;\(#,##0&quot; ₫)&quot;;\-"/>
    <numFmt numFmtId="171" formatCode="#,##0.00;\(#,##0.00\);\-"/>
    <numFmt numFmtId="172" formatCode="0.0\x"/>
    <numFmt numFmtId="173" formatCode="dd/mm/yyyy"/>
    <numFmt numFmtId="174" formatCode="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6" t="s">
        <v>5</v>
      </c>
      <c r="B6" s="4" t="s">
        <v>6</v>
      </c>
    </row>
    <row r="7" customFormat="false" ht="15" hidden="false" customHeight="false" outlineLevel="0" collapsed="false">
      <c r="A7" s="4" t="s">
        <v>7</v>
      </c>
      <c r="B7" s="4" t="s">
        <v>8</v>
      </c>
    </row>
    <row r="8" customFormat="false" ht="15" hidden="false" customHeight="false" outlineLevel="0" collapsed="false">
      <c r="A8" s="7" t="s">
        <v>9</v>
      </c>
      <c r="B8" s="4" t="s">
        <v>10</v>
      </c>
    </row>
    <row r="9" customFormat="false" ht="15" hidden="false" customHeight="false" outlineLevel="0" collapsed="false">
      <c r="A9" s="3"/>
      <c r="B9" s="4"/>
    </row>
    <row r="10" customFormat="false" ht="15" hidden="false" customHeight="false" outlineLevel="0" collapsed="false">
      <c r="A10" s="3" t="s">
        <v>11</v>
      </c>
      <c r="B10" s="4"/>
    </row>
    <row r="11" customFormat="false" ht="15" hidden="false" customHeight="false" outlineLevel="0" collapsed="false">
      <c r="A11" s="4" t="s">
        <v>12</v>
      </c>
      <c r="B11" s="4" t="s">
        <v>13</v>
      </c>
    </row>
    <row r="12" customFormat="false" ht="15" hidden="false" customHeight="false" outlineLevel="0" collapsed="false">
      <c r="A12" s="4" t="s">
        <v>14</v>
      </c>
      <c r="B12" s="4" t="s">
        <v>15</v>
      </c>
    </row>
    <row r="13" customFormat="false" ht="15" hidden="false" customHeight="false" outlineLevel="0" collapsed="false">
      <c r="A13" s="4" t="s">
        <v>16</v>
      </c>
      <c r="B13" s="4" t="s">
        <v>17</v>
      </c>
    </row>
    <row r="14" customFormat="false" ht="15" hidden="false" customHeight="false" outlineLevel="0" collapsed="false">
      <c r="A14" s="4" t="s">
        <v>18</v>
      </c>
      <c r="B14" s="4" t="s">
        <v>19</v>
      </c>
    </row>
    <row r="15" customFormat="false" ht="15" hidden="false" customHeight="false" outlineLevel="0" collapsed="false">
      <c r="A15" s="4" t="s">
        <v>20</v>
      </c>
      <c r="B15" s="4" t="s">
        <v>21</v>
      </c>
    </row>
    <row r="16" customFormat="false" ht="15" hidden="false" customHeight="false" outlineLevel="0" collapsed="false">
      <c r="A16" s="4" t="s">
        <v>22</v>
      </c>
      <c r="B16" s="4" t="s">
        <v>23</v>
      </c>
    </row>
    <row r="17" customFormat="false" ht="15" hidden="false" customHeight="false" outlineLevel="0" collapsed="false">
      <c r="A17" s="4" t="s">
        <v>24</v>
      </c>
      <c r="B17" s="4" t="s">
        <v>25</v>
      </c>
    </row>
    <row r="18" customFormat="false" ht="15" hidden="false" customHeight="false" outlineLevel="0" collapsed="false">
      <c r="A18" s="4" t="s">
        <v>26</v>
      </c>
      <c r="B18" s="4" t="s">
        <v>27</v>
      </c>
    </row>
    <row r="19" customFormat="false" ht="15" hidden="false" customHeight="false" outlineLevel="0" collapsed="false">
      <c r="A19" s="3"/>
      <c r="B19" s="4"/>
    </row>
    <row r="20" customFormat="false" ht="15" hidden="false" customHeight="false" outlineLevel="0" collapsed="false">
      <c r="A20" s="4" t="s">
        <v>28</v>
      </c>
      <c r="B20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5" min="4" style="0" width="6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8" t="s">
        <v>32</v>
      </c>
      <c r="B4" s="8" t="s">
        <v>33</v>
      </c>
      <c r="C4" s="8" t="s">
        <v>34</v>
      </c>
      <c r="D4" s="8" t="s">
        <v>35</v>
      </c>
    </row>
    <row r="5" customFormat="false" ht="26.85" hidden="false" customHeight="false" outlineLevel="0" collapsed="false">
      <c r="A5" s="9" t="s">
        <v>36</v>
      </c>
      <c r="B5" s="10" t="n">
        <v>26500</v>
      </c>
      <c r="C5" s="9" t="s">
        <v>37</v>
      </c>
      <c r="D5" s="11" t="s">
        <v>38</v>
      </c>
    </row>
    <row r="6" customFormat="false" ht="26.85" hidden="false" customHeight="false" outlineLevel="0" collapsed="false">
      <c r="A6" s="9" t="s">
        <v>39</v>
      </c>
      <c r="B6" s="10" t="n">
        <v>600</v>
      </c>
      <c r="C6" s="9" t="s">
        <v>40</v>
      </c>
      <c r="D6" s="11" t="s">
        <v>41</v>
      </c>
    </row>
    <row r="7" customFormat="false" ht="15" hidden="false" customHeight="false" outlineLevel="0" collapsed="false">
      <c r="A7" s="9" t="s">
        <v>42</v>
      </c>
      <c r="B7" s="12" t="n">
        <v>8</v>
      </c>
      <c r="C7" s="9" t="s">
        <v>40</v>
      </c>
      <c r="D7" s="11" t="s">
        <v>43</v>
      </c>
    </row>
    <row r="8" customFormat="false" ht="15" hidden="false" customHeight="false" outlineLevel="0" collapsed="false">
      <c r="A8" s="9" t="s">
        <v>44</v>
      </c>
      <c r="B8" s="12" t="n">
        <v>6</v>
      </c>
      <c r="C8" s="9" t="s">
        <v>40</v>
      </c>
      <c r="D8" s="11" t="s">
        <v>45</v>
      </c>
    </row>
    <row r="9" customFormat="false" ht="15" hidden="false" customHeight="false" outlineLevel="0" collapsed="false">
      <c r="A9" s="9" t="s">
        <v>46</v>
      </c>
      <c r="B9" s="13" t="n">
        <v>2</v>
      </c>
      <c r="C9" s="9" t="s">
        <v>47</v>
      </c>
      <c r="D9" s="11" t="s">
        <v>48</v>
      </c>
    </row>
    <row r="10" customFormat="false" ht="26.85" hidden="false" customHeight="false" outlineLevel="0" collapsed="false">
      <c r="A10" s="9" t="s">
        <v>49</v>
      </c>
      <c r="B10" s="10" t="n">
        <v>5</v>
      </c>
      <c r="C10" s="9" t="s">
        <v>50</v>
      </c>
      <c r="D10" s="11" t="s">
        <v>51</v>
      </c>
    </row>
    <row r="11" customFormat="false" ht="15" hidden="false" customHeight="false" outlineLevel="0" collapsed="false">
      <c r="A11" s="9" t="s">
        <v>52</v>
      </c>
      <c r="B11" s="12" t="n">
        <v>45</v>
      </c>
      <c r="C11" s="9" t="s">
        <v>40</v>
      </c>
      <c r="D11" s="11"/>
    </row>
    <row r="12" customFormat="false" ht="15" hidden="false" customHeight="false" outlineLevel="0" collapsed="false">
      <c r="A12" s="9" t="s">
        <v>53</v>
      </c>
      <c r="B12" s="13" t="n">
        <v>2.5</v>
      </c>
      <c r="C12" s="9" t="s">
        <v>47</v>
      </c>
      <c r="D12" s="11"/>
    </row>
    <row r="13" customFormat="false" ht="15" hidden="false" customHeight="false" outlineLevel="0" collapsed="false">
      <c r="A13" s="9" t="s">
        <v>54</v>
      </c>
      <c r="B13" s="12" t="n">
        <v>900</v>
      </c>
      <c r="C13" s="9" t="s">
        <v>55</v>
      </c>
      <c r="D13" s="11" t="s">
        <v>56</v>
      </c>
    </row>
    <row r="14" customFormat="false" ht="15" hidden="false" customHeight="false" outlineLevel="0" collapsed="false">
      <c r="A14" s="9" t="s">
        <v>57</v>
      </c>
      <c r="B14" s="13" t="n">
        <v>1.3</v>
      </c>
      <c r="C14" s="9" t="s">
        <v>47</v>
      </c>
      <c r="D14" s="11" t="s">
        <v>58</v>
      </c>
    </row>
    <row r="15" customFormat="false" ht="15" hidden="false" customHeight="false" outlineLevel="0" collapsed="false">
      <c r="A15" s="9" t="s">
        <v>59</v>
      </c>
      <c r="B15" s="12" t="n">
        <v>22</v>
      </c>
      <c r="C15" s="9" t="s">
        <v>60</v>
      </c>
      <c r="D15" s="11"/>
    </row>
    <row r="16" customFormat="false" ht="15" hidden="false" customHeight="false" outlineLevel="0" collapsed="false">
      <c r="A16" s="9" t="s">
        <v>61</v>
      </c>
      <c r="B16" s="12" t="n">
        <v>7</v>
      </c>
      <c r="C16" s="9" t="s">
        <v>62</v>
      </c>
      <c r="D16" s="11"/>
    </row>
    <row r="18" customFormat="false" ht="15" hidden="false" customHeight="false" outlineLevel="0" collapsed="false">
      <c r="A18" s="14" t="s">
        <v>63</v>
      </c>
      <c r="B18" s="15"/>
      <c r="C18" s="15"/>
      <c r="D18" s="15"/>
      <c r="E18" s="15"/>
    </row>
    <row r="19" customFormat="false" ht="15" hidden="false" customHeight="false" outlineLevel="0" collapsed="false">
      <c r="A19" s="8" t="s">
        <v>64</v>
      </c>
      <c r="B19" s="8" t="s">
        <v>65</v>
      </c>
      <c r="C19" s="8" t="s">
        <v>66</v>
      </c>
      <c r="D19" s="8" t="s">
        <v>67</v>
      </c>
      <c r="E19" s="8" t="s">
        <v>68</v>
      </c>
    </row>
    <row r="20" customFormat="false" ht="15" hidden="false" customHeight="false" outlineLevel="0" collapsed="false">
      <c r="A20" s="11" t="s">
        <v>69</v>
      </c>
      <c r="B20" s="16" t="n">
        <v>0.3</v>
      </c>
      <c r="C20" s="16" t="n">
        <v>0.6</v>
      </c>
      <c r="D20" s="16" t="n">
        <v>0.9</v>
      </c>
      <c r="E20" s="11" t="s">
        <v>70</v>
      </c>
    </row>
    <row r="21" customFormat="false" ht="26.85" hidden="false" customHeight="false" outlineLevel="0" collapsed="false">
      <c r="A21" s="11" t="s">
        <v>71</v>
      </c>
      <c r="B21" s="13" t="n">
        <v>2</v>
      </c>
      <c r="C21" s="13" t="n">
        <v>2.5</v>
      </c>
      <c r="D21" s="13" t="n">
        <v>3</v>
      </c>
      <c r="E21" s="11" t="s">
        <v>72</v>
      </c>
    </row>
    <row r="22" customFormat="false" ht="15" hidden="false" customHeight="false" outlineLevel="0" collapsed="false">
      <c r="A22" s="11" t="s">
        <v>73</v>
      </c>
      <c r="B22" s="16" t="n">
        <v>0.7</v>
      </c>
      <c r="C22" s="16" t="n">
        <v>0.4</v>
      </c>
      <c r="D22" s="16" t="n">
        <v>0</v>
      </c>
      <c r="E22" s="11" t="s">
        <v>74</v>
      </c>
    </row>
    <row r="23" customFormat="false" ht="15" hidden="false" customHeight="false" outlineLevel="0" collapsed="false">
      <c r="A23" s="11" t="s">
        <v>75</v>
      </c>
      <c r="B23" s="16" t="n">
        <v>0.3</v>
      </c>
      <c r="C23" s="16" t="n">
        <v>0.6</v>
      </c>
      <c r="D23" s="16" t="n">
        <v>0.8</v>
      </c>
      <c r="E23" s="11" t="s">
        <v>76</v>
      </c>
    </row>
    <row r="24" customFormat="false" ht="15" hidden="false" customHeight="false" outlineLevel="0" collapsed="false">
      <c r="A24" s="11" t="s">
        <v>77</v>
      </c>
      <c r="B24" s="16" t="n">
        <v>0</v>
      </c>
      <c r="C24" s="16" t="n">
        <v>0</v>
      </c>
      <c r="D24" s="16" t="n">
        <v>0.2</v>
      </c>
      <c r="E24" s="11" t="s">
        <v>78</v>
      </c>
    </row>
    <row r="25" customFormat="false" ht="15" hidden="false" customHeight="false" outlineLevel="0" collapsed="false">
      <c r="A25" s="9" t="s">
        <v>79</v>
      </c>
      <c r="B25" s="9" t="str">
        <f aca="false">IF(ABS(SUM(B22:B24)-1)&lt;0.0001,"OK","SAI — sửa lại")</f>
        <v>OK</v>
      </c>
      <c r="C25" s="9" t="str">
        <f aca="false">IF(ABS(SUM(C22:C24)-1)&lt;0.0001,"OK","SAI — sửa lại")</f>
        <v>OK</v>
      </c>
      <c r="D25" s="9" t="str">
        <f aca="false">IF(ABS(SUM(D22:D24)-1)&lt;0.0001,"OK","SAI — sửa lại")</f>
        <v>OK</v>
      </c>
    </row>
    <row r="27" customFormat="false" ht="15" hidden="false" customHeight="false" outlineLevel="0" collapsed="false">
      <c r="A27" s="14" t="s">
        <v>80</v>
      </c>
      <c r="B27" s="15"/>
      <c r="C27" s="15"/>
      <c r="D27" s="15"/>
      <c r="E27" s="15"/>
    </row>
    <row r="28" customFormat="false" ht="26.85" hidden="false" customHeight="false" outlineLevel="0" collapsed="false">
      <c r="A28" s="8" t="s">
        <v>81</v>
      </c>
      <c r="B28" s="8" t="s">
        <v>82</v>
      </c>
      <c r="C28" s="8" t="s">
        <v>83</v>
      </c>
      <c r="D28" s="8" t="s">
        <v>84</v>
      </c>
      <c r="E28" s="8" t="s">
        <v>85</v>
      </c>
    </row>
    <row r="29" customFormat="false" ht="26.85" hidden="false" customHeight="false" outlineLevel="0" collapsed="false">
      <c r="A29" s="9" t="s">
        <v>86</v>
      </c>
      <c r="B29" s="12" t="n">
        <v>10</v>
      </c>
      <c r="C29" s="12" t="n">
        <v>5</v>
      </c>
      <c r="D29" s="17" t="n">
        <v>0.08</v>
      </c>
      <c r="E29" s="11" t="s">
        <v>87</v>
      </c>
    </row>
    <row r="30" customFormat="false" ht="26.85" hidden="false" customHeight="false" outlineLevel="0" collapsed="false">
      <c r="A30" s="9" t="s">
        <v>88</v>
      </c>
      <c r="B30" s="12" t="n">
        <v>20</v>
      </c>
      <c r="C30" s="12" t="n">
        <v>10</v>
      </c>
      <c r="D30" s="17" t="n">
        <v>0.12</v>
      </c>
      <c r="E30" s="11" t="s">
        <v>87</v>
      </c>
    </row>
    <row r="31" customFormat="false" ht="26.85" hidden="false" customHeight="false" outlineLevel="0" collapsed="false">
      <c r="A31" s="9" t="s">
        <v>89</v>
      </c>
      <c r="B31" s="12" t="n">
        <v>100</v>
      </c>
      <c r="C31" s="12" t="n">
        <v>100</v>
      </c>
      <c r="D31" s="17" t="n">
        <v>0.4</v>
      </c>
      <c r="E31" s="11" t="s">
        <v>87</v>
      </c>
    </row>
    <row r="33" customFormat="false" ht="15" hidden="false" customHeight="false" outlineLevel="0" collapsed="false">
      <c r="A33" s="14" t="s">
        <v>90</v>
      </c>
      <c r="B33" s="15"/>
      <c r="C33" s="15"/>
      <c r="D33" s="15"/>
      <c r="E33" s="15"/>
    </row>
    <row r="34" customFormat="false" ht="39.55" hidden="false" customHeight="false" outlineLevel="0" collapsed="false">
      <c r="A34" s="8" t="s">
        <v>91</v>
      </c>
      <c r="B34" s="8" t="s">
        <v>92</v>
      </c>
      <c r="C34" s="8" t="s">
        <v>93</v>
      </c>
      <c r="D34" s="8" t="s">
        <v>94</v>
      </c>
      <c r="E34" s="8" t="s">
        <v>68</v>
      </c>
    </row>
    <row r="35" customFormat="false" ht="15" hidden="false" customHeight="false" outlineLevel="0" collapsed="false">
      <c r="A35" s="9" t="s">
        <v>95</v>
      </c>
      <c r="B35" s="12" t="n">
        <v>1000</v>
      </c>
      <c r="C35" s="12" t="n">
        <v>50</v>
      </c>
      <c r="D35" s="18" t="n">
        <f aca="false">B35+C35*30</f>
        <v>2500</v>
      </c>
      <c r="E35" s="11" t="s">
        <v>96</v>
      </c>
    </row>
    <row r="36" customFormat="false" ht="15" hidden="false" customHeight="false" outlineLevel="0" collapsed="false">
      <c r="A36" s="9" t="s">
        <v>97</v>
      </c>
      <c r="B36" s="12" t="n">
        <v>10000</v>
      </c>
      <c r="C36" s="12" t="n">
        <v>50</v>
      </c>
      <c r="D36" s="18" t="n">
        <f aca="false">B36+C36*30</f>
        <v>11500</v>
      </c>
      <c r="E36" s="11" t="s">
        <v>98</v>
      </c>
    </row>
    <row r="37" customFormat="false" ht="15" hidden="false" customHeight="false" outlineLevel="0" collapsed="false">
      <c r="A37" s="9" t="s">
        <v>99</v>
      </c>
      <c r="B37" s="12" t="n">
        <v>25000</v>
      </c>
      <c r="C37" s="12" t="n">
        <v>50</v>
      </c>
      <c r="D37" s="18" t="n">
        <f aca="false">B37+C37*30</f>
        <v>26500</v>
      </c>
      <c r="E37" s="11" t="s">
        <v>100</v>
      </c>
    </row>
    <row r="39" customFormat="false" ht="15" hidden="false" customHeight="false" outlineLevel="0" collapsed="false">
      <c r="A39" s="14" t="s">
        <v>101</v>
      </c>
      <c r="B39" s="15"/>
      <c r="C39" s="15"/>
      <c r="D39" s="15"/>
      <c r="E39" s="15"/>
    </row>
    <row r="40" customFormat="false" ht="15" hidden="false" customHeight="false" outlineLevel="0" collapsed="false">
      <c r="A40" s="8" t="s">
        <v>32</v>
      </c>
      <c r="B40" s="8" t="s">
        <v>33</v>
      </c>
      <c r="C40" s="8" t="s">
        <v>34</v>
      </c>
      <c r="D40" s="8" t="s">
        <v>35</v>
      </c>
    </row>
    <row r="41" customFormat="false" ht="15" hidden="false" customHeight="false" outlineLevel="0" collapsed="false">
      <c r="A41" s="9" t="s">
        <v>102</v>
      </c>
      <c r="B41" s="17" t="n">
        <v>0.134</v>
      </c>
      <c r="C41" s="9" t="s">
        <v>103</v>
      </c>
      <c r="D41" s="11" t="s">
        <v>104</v>
      </c>
    </row>
    <row r="42" customFormat="false" ht="15" hidden="false" customHeight="false" outlineLevel="0" collapsed="false">
      <c r="A42" s="9" t="s">
        <v>105</v>
      </c>
      <c r="B42" s="17" t="n">
        <v>0</v>
      </c>
      <c r="C42" s="9" t="s">
        <v>103</v>
      </c>
      <c r="D42" s="11" t="s">
        <v>106</v>
      </c>
    </row>
    <row r="43" customFormat="false" ht="26.85" hidden="false" customHeight="false" outlineLevel="0" collapsed="false">
      <c r="A43" s="9" t="s">
        <v>107</v>
      </c>
      <c r="B43" s="19" t="n">
        <f aca="false">99/600</f>
        <v>0.165</v>
      </c>
      <c r="C43" s="9" t="s">
        <v>108</v>
      </c>
      <c r="D43" s="11" t="s">
        <v>109</v>
      </c>
    </row>
    <row r="44" customFormat="false" ht="26.85" hidden="false" customHeight="false" outlineLevel="0" collapsed="false">
      <c r="A44" s="9" t="s">
        <v>110</v>
      </c>
      <c r="B44" s="17" t="n">
        <v>1</v>
      </c>
      <c r="C44" s="9" t="s">
        <v>111</v>
      </c>
      <c r="D44" s="11" t="s">
        <v>112</v>
      </c>
    </row>
    <row r="45" customFormat="false" ht="15" hidden="false" customHeight="false" outlineLevel="0" collapsed="false">
      <c r="A45" s="9" t="s">
        <v>113</v>
      </c>
      <c r="B45" s="20" t="n">
        <v>0.1</v>
      </c>
      <c r="C45" s="9" t="s">
        <v>114</v>
      </c>
      <c r="D45" s="11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44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26.85" hidden="false" customHeight="false" outlineLevel="0" collapsed="false">
      <c r="A4" s="8" t="s">
        <v>118</v>
      </c>
      <c r="B4" s="8" t="s">
        <v>119</v>
      </c>
      <c r="C4" s="8" t="s">
        <v>120</v>
      </c>
      <c r="D4" s="8" t="s">
        <v>91</v>
      </c>
      <c r="E4" s="8" t="s">
        <v>121</v>
      </c>
      <c r="F4" s="8" t="s">
        <v>122</v>
      </c>
      <c r="G4" s="8" t="s">
        <v>123</v>
      </c>
      <c r="H4" s="8" t="s">
        <v>124</v>
      </c>
      <c r="I4" s="8" t="s">
        <v>125</v>
      </c>
    </row>
    <row r="5" customFormat="false" ht="26.85" hidden="false" customHeight="false" outlineLevel="0" collapsed="false">
      <c r="A5" s="9" t="n">
        <v>1</v>
      </c>
      <c r="B5" s="9" t="s">
        <v>126</v>
      </c>
      <c r="C5" s="11" t="s">
        <v>127</v>
      </c>
      <c r="D5" s="9" t="s">
        <v>128</v>
      </c>
      <c r="E5" s="17" t="n">
        <v>20</v>
      </c>
      <c r="F5" s="11" t="s">
        <v>129</v>
      </c>
      <c r="G5" s="12" t="n">
        <v>1</v>
      </c>
      <c r="H5" s="12" t="n">
        <v>0</v>
      </c>
      <c r="I5" s="12" t="n">
        <v>0</v>
      </c>
    </row>
    <row r="6" customFormat="false" ht="26.85" hidden="false" customHeight="false" outlineLevel="0" collapsed="false">
      <c r="A6" s="9" t="n">
        <v>2</v>
      </c>
      <c r="B6" s="9" t="s">
        <v>126</v>
      </c>
      <c r="C6" s="11" t="s">
        <v>130</v>
      </c>
      <c r="D6" s="9" t="s">
        <v>131</v>
      </c>
      <c r="E6" s="17" t="n">
        <v>100</v>
      </c>
      <c r="F6" s="11"/>
      <c r="G6" s="12" t="n">
        <v>0</v>
      </c>
      <c r="H6" s="12" t="n">
        <v>1</v>
      </c>
      <c r="I6" s="12" t="n">
        <v>0</v>
      </c>
    </row>
    <row r="7" customFormat="false" ht="15" hidden="false" customHeight="false" outlineLevel="0" collapsed="false">
      <c r="A7" s="9" t="n">
        <v>3</v>
      </c>
      <c r="B7" s="9" t="s">
        <v>126</v>
      </c>
      <c r="C7" s="11" t="s">
        <v>132</v>
      </c>
      <c r="D7" s="9" t="s">
        <v>133</v>
      </c>
      <c r="E7" s="17" t="n">
        <v>200</v>
      </c>
      <c r="F7" s="11"/>
      <c r="G7" s="12" t="n">
        <v>0</v>
      </c>
      <c r="H7" s="12" t="n">
        <v>0</v>
      </c>
      <c r="I7" s="12" t="n">
        <v>1</v>
      </c>
    </row>
    <row r="8" customFormat="false" ht="15" hidden="false" customHeight="false" outlineLevel="0" collapsed="false">
      <c r="A8" s="9" t="n">
        <v>4</v>
      </c>
      <c r="B8" s="9" t="s">
        <v>134</v>
      </c>
      <c r="C8" s="11" t="s">
        <v>135</v>
      </c>
      <c r="D8" s="9" t="s">
        <v>136</v>
      </c>
      <c r="E8" s="17" t="n">
        <v>10</v>
      </c>
      <c r="F8" s="11" t="s">
        <v>137</v>
      </c>
      <c r="G8" s="12" t="n">
        <v>0</v>
      </c>
      <c r="H8" s="12" t="n">
        <v>1</v>
      </c>
      <c r="I8" s="12" t="n">
        <v>3</v>
      </c>
    </row>
    <row r="9" customFormat="false" ht="15" hidden="false" customHeight="false" outlineLevel="0" collapsed="false">
      <c r="A9" s="9" t="n">
        <v>5</v>
      </c>
      <c r="B9" s="9" t="s">
        <v>138</v>
      </c>
      <c r="C9" s="11" t="s">
        <v>139</v>
      </c>
      <c r="D9" s="9" t="s">
        <v>140</v>
      </c>
      <c r="E9" s="17" t="n">
        <v>19.99</v>
      </c>
      <c r="F9" s="11" t="s">
        <v>141</v>
      </c>
      <c r="G9" s="12" t="n">
        <v>1</v>
      </c>
      <c r="H9" s="12" t="n">
        <v>0</v>
      </c>
      <c r="I9" s="12" t="n">
        <v>0</v>
      </c>
    </row>
    <row r="10" customFormat="false" ht="26.85" hidden="false" customHeight="false" outlineLevel="0" collapsed="false">
      <c r="A10" s="9" t="n">
        <v>6</v>
      </c>
      <c r="B10" s="9" t="s">
        <v>138</v>
      </c>
      <c r="C10" s="11" t="s">
        <v>142</v>
      </c>
      <c r="D10" s="9" t="s">
        <v>143</v>
      </c>
      <c r="E10" s="17" t="n">
        <v>199.99</v>
      </c>
      <c r="F10" s="11" t="s">
        <v>144</v>
      </c>
      <c r="G10" s="12" t="n">
        <v>0</v>
      </c>
      <c r="H10" s="12" t="n">
        <v>1</v>
      </c>
      <c r="I10" s="12" t="n">
        <v>2</v>
      </c>
    </row>
    <row r="11" customFormat="false" ht="15" hidden="false" customHeight="false" outlineLevel="0" collapsed="false">
      <c r="A11" s="9" t="n">
        <v>7</v>
      </c>
      <c r="B11" s="9" t="s">
        <v>145</v>
      </c>
      <c r="C11" s="11" t="s">
        <v>146</v>
      </c>
      <c r="D11" s="9" t="s">
        <v>147</v>
      </c>
      <c r="E11" s="17" t="n">
        <v>10</v>
      </c>
      <c r="F11" s="11" t="s">
        <v>148</v>
      </c>
      <c r="G11" s="12" t="n">
        <v>0</v>
      </c>
      <c r="H11" s="12" t="n">
        <v>1</v>
      </c>
      <c r="I11" s="12" t="n">
        <v>0</v>
      </c>
    </row>
    <row r="12" customFormat="false" ht="15" hidden="false" customHeight="false" outlineLevel="0" collapsed="false">
      <c r="A12" s="9" t="n">
        <v>8</v>
      </c>
      <c r="B12" s="9" t="s">
        <v>145</v>
      </c>
      <c r="C12" s="11" t="s">
        <v>149</v>
      </c>
      <c r="D12" s="9" t="s">
        <v>128</v>
      </c>
      <c r="E12" s="17" t="n">
        <v>37</v>
      </c>
      <c r="F12" s="11"/>
      <c r="G12" s="12" t="n">
        <v>0</v>
      </c>
      <c r="H12" s="12" t="n">
        <v>0</v>
      </c>
      <c r="I12" s="12" t="n">
        <v>1</v>
      </c>
    </row>
    <row r="13" customFormat="false" ht="15" hidden="false" customHeight="false" outlineLevel="0" collapsed="false">
      <c r="A13" s="9" t="n">
        <v>9</v>
      </c>
      <c r="B13" s="9" t="s">
        <v>150</v>
      </c>
      <c r="C13" s="11" t="s">
        <v>151</v>
      </c>
      <c r="D13" s="9" t="s">
        <v>152</v>
      </c>
      <c r="E13" s="17" t="n">
        <v>22</v>
      </c>
      <c r="F13" s="11" t="s">
        <v>153</v>
      </c>
      <c r="G13" s="12" t="n">
        <v>1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9" t="n">
        <v>10</v>
      </c>
      <c r="B14" s="9" t="s">
        <v>150</v>
      </c>
      <c r="C14" s="11" t="s">
        <v>149</v>
      </c>
      <c r="D14" s="9" t="s">
        <v>128</v>
      </c>
      <c r="E14" s="17" t="n">
        <v>99</v>
      </c>
      <c r="F14" s="11" t="s">
        <v>154</v>
      </c>
      <c r="G14" s="12" t="n">
        <v>0</v>
      </c>
      <c r="H14" s="12" t="n">
        <v>1</v>
      </c>
      <c r="I14" s="12" t="n">
        <v>2</v>
      </c>
    </row>
    <row r="15" customFormat="false" ht="26.85" hidden="false" customHeight="false" outlineLevel="0" collapsed="false">
      <c r="A15" s="9" t="n">
        <v>11</v>
      </c>
      <c r="B15" s="9" t="s">
        <v>155</v>
      </c>
      <c r="C15" s="11" t="s">
        <v>156</v>
      </c>
      <c r="D15" s="9" t="s">
        <v>128</v>
      </c>
      <c r="E15" s="17" t="n">
        <v>10</v>
      </c>
      <c r="F15" s="11" t="s">
        <v>157</v>
      </c>
      <c r="G15" s="12" t="n">
        <v>1</v>
      </c>
      <c r="H15" s="12" t="n">
        <v>1</v>
      </c>
      <c r="I15" s="12" t="n">
        <v>2</v>
      </c>
    </row>
    <row r="16" customFormat="false" ht="15" hidden="false" customHeight="false" outlineLevel="0" collapsed="false">
      <c r="A16" s="9" t="n">
        <v>12</v>
      </c>
      <c r="B16" s="9" t="s">
        <v>158</v>
      </c>
      <c r="C16" s="11" t="s">
        <v>159</v>
      </c>
      <c r="D16" s="9" t="s">
        <v>128</v>
      </c>
      <c r="E16" s="17" t="n">
        <v>10</v>
      </c>
      <c r="F16" s="11" t="s">
        <v>160</v>
      </c>
      <c r="G16" s="12" t="n">
        <v>0</v>
      </c>
      <c r="H16" s="12" t="n">
        <v>1</v>
      </c>
      <c r="I16" s="12" t="n">
        <v>0</v>
      </c>
    </row>
    <row r="17" customFormat="false" ht="15" hidden="false" customHeight="false" outlineLevel="0" collapsed="false">
      <c r="A17" s="9" t="n">
        <v>13</v>
      </c>
      <c r="B17" s="9" t="s">
        <v>158</v>
      </c>
      <c r="C17" s="11" t="s">
        <v>161</v>
      </c>
      <c r="D17" s="9" t="s">
        <v>162</v>
      </c>
      <c r="E17" s="17" t="n">
        <v>30</v>
      </c>
      <c r="F17" s="11"/>
      <c r="G17" s="12" t="n">
        <v>0</v>
      </c>
      <c r="H17" s="12" t="n">
        <v>0</v>
      </c>
      <c r="I17" s="12" t="n">
        <v>1</v>
      </c>
    </row>
    <row r="18" customFormat="false" ht="26.85" hidden="false" customHeight="false" outlineLevel="0" collapsed="false">
      <c r="A18" s="9" t="n">
        <v>14</v>
      </c>
      <c r="B18" s="9" t="s">
        <v>163</v>
      </c>
      <c r="C18" s="11" t="s">
        <v>164</v>
      </c>
      <c r="D18" s="9" t="s">
        <v>128</v>
      </c>
      <c r="E18" s="17" t="n">
        <v>29</v>
      </c>
      <c r="F18" s="11" t="s">
        <v>165</v>
      </c>
      <c r="G18" s="12" t="n">
        <v>0</v>
      </c>
      <c r="H18" s="12" t="n">
        <v>1</v>
      </c>
      <c r="I18" s="12" t="n">
        <v>2</v>
      </c>
    </row>
    <row r="19" customFormat="false" ht="26.85" hidden="false" customHeight="false" outlineLevel="0" collapsed="false">
      <c r="A19" s="9" t="n">
        <v>15</v>
      </c>
      <c r="B19" s="9" t="s">
        <v>166</v>
      </c>
      <c r="C19" s="11" t="s">
        <v>167</v>
      </c>
      <c r="D19" s="9" t="s">
        <v>168</v>
      </c>
      <c r="E19" s="17" t="n">
        <v>0</v>
      </c>
      <c r="F19" s="11"/>
      <c r="G19" s="12" t="n">
        <v>1</v>
      </c>
      <c r="H19" s="12" t="n">
        <v>1</v>
      </c>
      <c r="I19" s="12" t="n">
        <v>1</v>
      </c>
    </row>
    <row r="21" customFormat="false" ht="15" hidden="false" customHeight="false" outlineLevel="0" collapsed="false">
      <c r="F21" s="21" t="s">
        <v>169</v>
      </c>
      <c r="G21" s="22" t="n">
        <f aca="false">SUMPRODUCT($E$5:$E$19,G5:G19)</f>
        <v>71.99</v>
      </c>
      <c r="H21" s="22" t="n">
        <f aca="false">SUMPRODUCT($E$5:$E$19,H5:H19)</f>
        <v>467.99</v>
      </c>
      <c r="I21" s="22" t="n">
        <f aca="false">SUMPRODUCT($E$5:$E$19,I5:I19)</f>
        <v>972.98</v>
      </c>
    </row>
    <row r="22" customFormat="false" ht="15" hidden="false" customHeight="false" outlineLevel="0" collapsed="false">
      <c r="F22" s="21" t="s">
        <v>170</v>
      </c>
      <c r="G22" s="23" t="n">
        <f aca="false">G21*ThongSo!$B$45</f>
        <v>7.199</v>
      </c>
      <c r="H22" s="23" t="n">
        <f aca="false">H21*ThongSo!$B$45</f>
        <v>46.799</v>
      </c>
      <c r="I22" s="23" t="n">
        <f aca="false">I21*ThongSo!$B$45</f>
        <v>97.298</v>
      </c>
    </row>
    <row r="23" customFormat="false" ht="15" hidden="false" customHeight="false" outlineLevel="0" collapsed="false">
      <c r="F23" s="21" t="s">
        <v>171</v>
      </c>
      <c r="G23" s="24" t="n">
        <f aca="false">G21+G22</f>
        <v>79.189</v>
      </c>
      <c r="H23" s="24" t="n">
        <f aca="false">H21+H22</f>
        <v>514.789</v>
      </c>
      <c r="I23" s="24" t="n">
        <f aca="false">I21+I22</f>
        <v>1070.278</v>
      </c>
    </row>
    <row r="24" customFormat="false" ht="15" hidden="false" customHeight="false" outlineLevel="0" collapsed="false">
      <c r="F24" s="21" t="s">
        <v>172</v>
      </c>
      <c r="G24" s="25" t="n">
        <f aca="false">G23*ThongSo!$B$5</f>
        <v>2098508.5</v>
      </c>
      <c r="H24" s="25" t="n">
        <f aca="false">H23*ThongSo!$B$5</f>
        <v>13641908.5</v>
      </c>
      <c r="I24" s="25" t="n">
        <f aca="false">I23*ThongSo!$B$5</f>
        <v>28362367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" t="s">
        <v>174</v>
      </c>
    </row>
    <row r="4" customFormat="false" ht="15" hidden="false" customHeight="false" outlineLevel="0" collapsed="false">
      <c r="A4" s="8" t="s">
        <v>175</v>
      </c>
      <c r="B4" s="8" t="s">
        <v>65</v>
      </c>
      <c r="C4" s="8" t="s">
        <v>66</v>
      </c>
      <c r="D4" s="8" t="s">
        <v>67</v>
      </c>
      <c r="E4" s="8" t="s">
        <v>176</v>
      </c>
    </row>
    <row r="5" customFormat="false" ht="15" hidden="false" customHeight="false" outlineLevel="0" collapsed="false">
      <c r="A5" s="14" t="s">
        <v>177</v>
      </c>
      <c r="B5" s="15"/>
      <c r="C5" s="15"/>
      <c r="D5" s="15"/>
      <c r="E5" s="15"/>
    </row>
    <row r="6" customFormat="false" ht="15" hidden="false" customHeight="false" outlineLevel="0" collapsed="false">
      <c r="A6" s="11" t="s">
        <v>178</v>
      </c>
      <c r="B6" s="26" t="n">
        <f aca="false">ThongSo!$B$6*ThongSo!B20</f>
        <v>180</v>
      </c>
      <c r="C6" s="26" t="n">
        <f aca="false">ThongSo!$B$6*ThongSo!C20</f>
        <v>360</v>
      </c>
      <c r="D6" s="26" t="n">
        <f aca="false">ThongSo!$B$6*ThongSo!D20</f>
        <v>540</v>
      </c>
      <c r="E6" s="11" t="s">
        <v>179</v>
      </c>
    </row>
    <row r="7" customFormat="false" ht="15" hidden="false" customHeight="false" outlineLevel="0" collapsed="false">
      <c r="A7" s="11" t="s">
        <v>180</v>
      </c>
      <c r="B7" s="27" t="n">
        <f aca="false">B6/ThongSo!$B$7</f>
        <v>22.5</v>
      </c>
      <c r="C7" s="27" t="n">
        <f aca="false">C6/ThongSo!$B$7</f>
        <v>45</v>
      </c>
      <c r="D7" s="27" t="n">
        <f aca="false">D6/ThongSo!$B$7</f>
        <v>67.5</v>
      </c>
      <c r="E7" s="11"/>
    </row>
    <row r="8" customFormat="false" ht="15" hidden="false" customHeight="false" outlineLevel="0" collapsed="false">
      <c r="A8" s="11" t="s">
        <v>181</v>
      </c>
      <c r="B8" s="27" t="n">
        <f aca="false">B7*ThongSo!B21</f>
        <v>45</v>
      </c>
      <c r="C8" s="27" t="n">
        <f aca="false">C7*ThongSo!C21</f>
        <v>112.5</v>
      </c>
      <c r="D8" s="27" t="n">
        <f aca="false">D7*ThongSo!D21</f>
        <v>202.5</v>
      </c>
      <c r="E8" s="11" t="s">
        <v>182</v>
      </c>
    </row>
    <row r="9" customFormat="false" ht="15" hidden="false" customHeight="false" outlineLevel="0" collapsed="false">
      <c r="A9" s="11" t="s">
        <v>183</v>
      </c>
      <c r="B9" s="28" t="n">
        <f aca="false">ThongSo!B22*ThongSo!$C$29+ThongSo!B23*ThongSo!$C$30+ThongSo!B24*ThongSo!$C$31</f>
        <v>6.5</v>
      </c>
      <c r="C9" s="28" t="n">
        <f aca="false">ThongSo!C22*ThongSo!$C$29+ThongSo!C23*ThongSo!$C$30+ThongSo!C24*ThongSo!$C$31</f>
        <v>8</v>
      </c>
      <c r="D9" s="28" t="n">
        <f aca="false">ThongSo!D22*ThongSo!$C$29+ThongSo!D23*ThongSo!$C$30+ThongSo!D24*ThongSo!$C$31</f>
        <v>28</v>
      </c>
      <c r="E9" s="11" t="s">
        <v>184</v>
      </c>
    </row>
    <row r="10" customFormat="false" ht="15" hidden="false" customHeight="false" outlineLevel="0" collapsed="false">
      <c r="A10" s="11" t="s">
        <v>185</v>
      </c>
      <c r="B10" s="28" t="n">
        <f aca="false">ThongSo!B22*ThongSo!$B$29+ThongSo!B23*ThongSo!$B$30+ThongSo!B24*ThongSo!$B$31</f>
        <v>13</v>
      </c>
      <c r="C10" s="28" t="n">
        <f aca="false">ThongSo!C22*ThongSo!$B$29+ThongSo!C23*ThongSo!$B$30+ThongSo!C24*ThongSo!$B$31</f>
        <v>16</v>
      </c>
      <c r="D10" s="28" t="n">
        <f aca="false">ThongSo!D22*ThongSo!$B$29+ThongSo!D23*ThongSo!$B$30+ThongSo!D24*ThongSo!$B$31</f>
        <v>36</v>
      </c>
      <c r="E10" s="11"/>
    </row>
    <row r="11" customFormat="false" ht="15" hidden="false" customHeight="false" outlineLevel="0" collapsed="false">
      <c r="A11" s="11" t="s">
        <v>186</v>
      </c>
      <c r="B11" s="18" t="n">
        <f aca="false">B8*B9</f>
        <v>292.5</v>
      </c>
      <c r="C11" s="18" t="n">
        <f aca="false">C8*C9</f>
        <v>900</v>
      </c>
      <c r="D11" s="18" t="n">
        <f aca="false">D8*D9</f>
        <v>5670</v>
      </c>
      <c r="E11" s="11"/>
    </row>
    <row r="12" customFormat="false" ht="15" hidden="false" customHeight="false" outlineLevel="0" collapsed="false">
      <c r="A12" s="11" t="s">
        <v>187</v>
      </c>
      <c r="B12" s="18" t="n">
        <f aca="false">B8*B10</f>
        <v>585</v>
      </c>
      <c r="C12" s="18" t="n">
        <f aca="false">C8*C10</f>
        <v>1800</v>
      </c>
      <c r="D12" s="18" t="n">
        <f aca="false">D8*D10</f>
        <v>7290</v>
      </c>
      <c r="E12" s="11"/>
    </row>
    <row r="13" customFormat="false" ht="15" hidden="false" customHeight="false" outlineLevel="0" collapsed="false">
      <c r="A13" s="11" t="s">
        <v>188</v>
      </c>
      <c r="B13" s="26" t="n">
        <f aca="false">ThongSo!$B$6*(1-ThongSo!B20)/ThongSo!$B$8</f>
        <v>70</v>
      </c>
      <c r="C13" s="26" t="n">
        <f aca="false">ThongSo!$B$6*(1-ThongSo!C20)/ThongSo!$B$8</f>
        <v>40</v>
      </c>
      <c r="D13" s="26" t="n">
        <f aca="false">ThongSo!$B$6*(1-ThongSo!D20)/ThongSo!$B$8</f>
        <v>10</v>
      </c>
      <c r="E13" s="11"/>
    </row>
    <row r="14" customFormat="false" ht="15" hidden="false" customHeight="false" outlineLevel="0" collapsed="false">
      <c r="A14" s="11" t="s">
        <v>189</v>
      </c>
      <c r="B14" s="18" t="n">
        <f aca="false">B7</f>
        <v>22.5</v>
      </c>
      <c r="C14" s="18" t="n">
        <f aca="false">C7</f>
        <v>45</v>
      </c>
      <c r="D14" s="18" t="n">
        <f aca="false">D7</f>
        <v>67.5</v>
      </c>
      <c r="E14" s="11" t="s">
        <v>190</v>
      </c>
    </row>
    <row r="15" customFormat="false" ht="15" hidden="false" customHeight="false" outlineLevel="0" collapsed="false">
      <c r="A15" s="11" t="s">
        <v>191</v>
      </c>
      <c r="B15" s="26" t="n">
        <f aca="false">(B13+B14)*ThongSo!$B$9</f>
        <v>185</v>
      </c>
      <c r="C15" s="26" t="n">
        <f aca="false">(C13+C14)*ThongSo!$B$9</f>
        <v>170</v>
      </c>
      <c r="D15" s="26" t="n">
        <f aca="false">(D13+D14)*ThongSo!$B$9</f>
        <v>155</v>
      </c>
      <c r="E15" s="11"/>
    </row>
    <row r="16" customFormat="false" ht="15" hidden="false" customHeight="false" outlineLevel="0" collapsed="false">
      <c r="A16" s="11" t="s">
        <v>192</v>
      </c>
      <c r="B16" s="26" t="n">
        <f aca="false">ThongSo!$B$6/60*ThongSo!$B$13*ThongSo!$B$14</f>
        <v>11700</v>
      </c>
      <c r="C16" s="26" t="n">
        <f aca="false">ThongSo!$B$6/60*ThongSo!$B$13*ThongSo!$B$14</f>
        <v>11700</v>
      </c>
      <c r="D16" s="26" t="n">
        <f aca="false">ThongSo!$B$6/60*ThongSo!$B$13*ThongSo!$B$14</f>
        <v>11700</v>
      </c>
      <c r="E16" s="11"/>
    </row>
    <row r="18" customFormat="false" ht="15" hidden="false" customHeight="false" outlineLevel="0" collapsed="false">
      <c r="A18" s="14" t="s">
        <v>193</v>
      </c>
      <c r="B18" s="15"/>
      <c r="C18" s="15"/>
      <c r="D18" s="15"/>
      <c r="E18" s="15"/>
    </row>
    <row r="19" customFormat="false" ht="15" hidden="false" customHeight="false" outlineLevel="0" collapsed="false">
      <c r="A19" s="11" t="s">
        <v>194</v>
      </c>
      <c r="B19" s="23" t="n">
        <f aca="false">B11*CongCu!$E$10/ThongSo!$D$37</f>
        <v>2.20743679245283</v>
      </c>
      <c r="C19" s="23" t="n">
        <f aca="false">C11*CongCu!$E$10/ThongSo!$D$37</f>
        <v>6.79211320754717</v>
      </c>
      <c r="D19" s="23" t="n">
        <f aca="false">D11*CongCu!$E$10/ThongSo!$D$37</f>
        <v>42.7903132075472</v>
      </c>
      <c r="E19" s="11" t="s">
        <v>195</v>
      </c>
    </row>
    <row r="20" customFormat="false" ht="15" hidden="false" customHeight="false" outlineLevel="0" collapsed="false">
      <c r="A20" s="11" t="s">
        <v>196</v>
      </c>
      <c r="B20" s="23" t="n">
        <f aca="false">B15*ThongSo!$B$42</f>
        <v>0</v>
      </c>
      <c r="C20" s="23" t="n">
        <f aca="false">C15*ThongSo!$B$42</f>
        <v>0</v>
      </c>
      <c r="D20" s="23" t="n">
        <f aca="false">D15*ThongSo!$B$42</f>
        <v>0</v>
      </c>
      <c r="E20" s="11" t="s">
        <v>197</v>
      </c>
    </row>
    <row r="21" customFormat="false" ht="15" hidden="false" customHeight="false" outlineLevel="0" collapsed="false">
      <c r="A21" s="11" t="s">
        <v>198</v>
      </c>
      <c r="B21" s="23" t="n">
        <f aca="false">B16/1000*ThongSo!$B$43</f>
        <v>1.9305</v>
      </c>
      <c r="C21" s="23" t="n">
        <f aca="false">C16/1000*ThongSo!$B$43</f>
        <v>1.9305</v>
      </c>
      <c r="D21" s="23" t="n">
        <f aca="false">D16/1000*ThongSo!$B$43</f>
        <v>1.9305</v>
      </c>
      <c r="E21" s="11"/>
    </row>
    <row r="22" customFormat="false" ht="15" hidden="false" customHeight="false" outlineLevel="0" collapsed="false">
      <c r="A22" s="29" t="s">
        <v>199</v>
      </c>
      <c r="B22" s="30" t="n">
        <f aca="false">SUM(B19:B21)</f>
        <v>4.13793679245283</v>
      </c>
      <c r="C22" s="30" t="n">
        <f aca="false">SUM(C19:C21)</f>
        <v>8.72261320754717</v>
      </c>
      <c r="D22" s="30" t="n">
        <f aca="false">SUM(D19:D21)</f>
        <v>44.7208132075472</v>
      </c>
      <c r="E22" s="11"/>
    </row>
    <row r="23" customFormat="false" ht="15" hidden="false" customHeight="false" outlineLevel="0" collapsed="false">
      <c r="A23" s="29" t="s">
        <v>200</v>
      </c>
      <c r="B23" s="25" t="n">
        <f aca="false">B22*ThongSo!$B$5</f>
        <v>109655.325</v>
      </c>
      <c r="C23" s="25" t="n">
        <f aca="false">C22*ThongSo!$B$5</f>
        <v>231149.25</v>
      </c>
      <c r="D23" s="25" t="n">
        <f aca="false">D22*ThongSo!$B$5</f>
        <v>1185101.55</v>
      </c>
      <c r="E23" s="11"/>
    </row>
    <row r="25" customFormat="false" ht="15" hidden="false" customHeight="false" outlineLevel="0" collapsed="false">
      <c r="A25" s="14" t="s">
        <v>201</v>
      </c>
      <c r="B25" s="15"/>
      <c r="C25" s="15"/>
      <c r="D25" s="15"/>
      <c r="E25" s="15"/>
    </row>
    <row r="26" customFormat="false" ht="15" hidden="false" customHeight="false" outlineLevel="0" collapsed="false">
      <c r="A26" s="11" t="s">
        <v>202</v>
      </c>
      <c r="B26" s="23" t="n">
        <f aca="false">B8*ThongSo!$B$7*(ThongSo!B22*ThongSo!$D$29+ThongSo!B23*ThongSo!$D$30+ThongSo!B24*ThongSo!$D$31)</f>
        <v>33.12</v>
      </c>
      <c r="C26" s="23" t="n">
        <f aca="false">C8*ThongSo!$B$7*(ThongSo!C22*ThongSo!$D$29+ThongSo!C23*ThongSo!$D$30+ThongSo!C24*ThongSo!$D$31)</f>
        <v>93.6</v>
      </c>
      <c r="D26" s="23" t="n">
        <f aca="false">D8*ThongSo!$B$7*(ThongSo!D22*ThongSo!$D$29+ThongSo!D23*ThongSo!$D$30+ThongSo!D24*ThongSo!$D$31)</f>
        <v>285.12</v>
      </c>
      <c r="E26" s="11" t="s">
        <v>203</v>
      </c>
    </row>
    <row r="27" customFormat="false" ht="15" hidden="false" customHeight="false" outlineLevel="0" collapsed="false">
      <c r="A27" s="11" t="s">
        <v>204</v>
      </c>
      <c r="B27" s="23" t="n">
        <f aca="false">B15*ThongSo!$B$41</f>
        <v>24.79</v>
      </c>
      <c r="C27" s="23" t="n">
        <f aca="false">C15*ThongSo!$B$41</f>
        <v>22.78</v>
      </c>
      <c r="D27" s="23" t="n">
        <f aca="false">D15*ThongSo!$B$41</f>
        <v>20.77</v>
      </c>
      <c r="E27" s="11"/>
    </row>
    <row r="28" customFormat="false" ht="15" hidden="false" customHeight="false" outlineLevel="0" collapsed="false">
      <c r="A28" s="11" t="s">
        <v>198</v>
      </c>
      <c r="B28" s="22" t="n">
        <f aca="false">B21</f>
        <v>1.9305</v>
      </c>
      <c r="C28" s="22" t="n">
        <f aca="false">C21</f>
        <v>1.9305</v>
      </c>
      <c r="D28" s="22" t="n">
        <f aca="false">D21</f>
        <v>1.9305</v>
      </c>
      <c r="E28" s="11"/>
    </row>
    <row r="29" customFormat="false" ht="15" hidden="false" customHeight="false" outlineLevel="0" collapsed="false">
      <c r="A29" s="11" t="s">
        <v>205</v>
      </c>
      <c r="B29" s="23" t="n">
        <f aca="false">ThongSo!$B$44</f>
        <v>1</v>
      </c>
      <c r="C29" s="23" t="n">
        <f aca="false">ThongSo!$B$44</f>
        <v>1</v>
      </c>
      <c r="D29" s="23" t="n">
        <f aca="false">ThongSo!$B$44</f>
        <v>1</v>
      </c>
      <c r="E29" s="11"/>
    </row>
    <row r="30" customFormat="false" ht="15" hidden="false" customHeight="false" outlineLevel="0" collapsed="false">
      <c r="A30" s="29" t="s">
        <v>206</v>
      </c>
      <c r="B30" s="30" t="n">
        <f aca="false">SUM(B26:B29)</f>
        <v>60.8405</v>
      </c>
      <c r="C30" s="30" t="n">
        <f aca="false">SUM(C26:C29)</f>
        <v>119.3105</v>
      </c>
      <c r="D30" s="30" t="n">
        <f aca="false">SUM(D26:D29)</f>
        <v>308.8205</v>
      </c>
      <c r="E30" s="11"/>
    </row>
    <row r="31" customFormat="false" ht="15" hidden="false" customHeight="false" outlineLevel="0" collapsed="false">
      <c r="A31" s="29" t="s">
        <v>207</v>
      </c>
      <c r="B31" s="25" t="n">
        <f aca="false">B30*ThongSo!$B$5</f>
        <v>1612273.25</v>
      </c>
      <c r="C31" s="25" t="n">
        <f aca="false">C30*ThongSo!$B$5</f>
        <v>3161728.25</v>
      </c>
      <c r="D31" s="25" t="n">
        <f aca="false">D30*ThongSo!$B$5</f>
        <v>8183743.25</v>
      </c>
      <c r="E31" s="11"/>
    </row>
    <row r="32" customFormat="false" ht="15" hidden="false" customHeight="false" outlineLevel="0" collapsed="false">
      <c r="A32" s="29" t="s">
        <v>208</v>
      </c>
      <c r="B32" s="31" t="n">
        <f aca="false">IF(B22&gt;0,B30/B22,0)</f>
        <v>14.7031003738305</v>
      </c>
      <c r="C32" s="31" t="n">
        <f aca="false">IF(C22&gt;0,C30/C22,0)</f>
        <v>13.6782976799622</v>
      </c>
      <c r="D32" s="31" t="n">
        <f aca="false">IF(D22&gt;0,D30/D22,0)</f>
        <v>6.90552067035943</v>
      </c>
      <c r="E32" s="11" t="s">
        <v>209</v>
      </c>
    </row>
    <row r="34" customFormat="false" ht="15" hidden="false" customHeight="false" outlineLevel="0" collapsed="false">
      <c r="A34" s="14" t="s">
        <v>210</v>
      </c>
      <c r="B34" s="15"/>
      <c r="C34" s="15"/>
      <c r="D34" s="15"/>
      <c r="E34" s="15"/>
    </row>
    <row r="35" customFormat="false" ht="15" hidden="false" customHeight="false" outlineLevel="0" collapsed="false">
      <c r="A35" s="8" t="s">
        <v>211</v>
      </c>
      <c r="B35" s="8" t="s">
        <v>212</v>
      </c>
      <c r="C35" s="8" t="s">
        <v>213</v>
      </c>
      <c r="D35" s="8" t="s">
        <v>214</v>
      </c>
      <c r="E35" s="8" t="s">
        <v>68</v>
      </c>
    </row>
    <row r="36" customFormat="false" ht="15" hidden="false" customHeight="false" outlineLevel="0" collapsed="false">
      <c r="A36" s="9" t="s">
        <v>215</v>
      </c>
      <c r="B36" s="21" t="s">
        <v>216</v>
      </c>
      <c r="C36" s="21" t="s">
        <v>66</v>
      </c>
      <c r="D36" s="21" t="s">
        <v>217</v>
      </c>
    </row>
    <row r="37" customFormat="false" ht="15" hidden="false" customHeight="false" outlineLevel="0" collapsed="false">
      <c r="A37" s="9" t="s">
        <v>218</v>
      </c>
      <c r="B37" s="32" t="s">
        <v>65</v>
      </c>
      <c r="C37" s="32" t="s">
        <v>66</v>
      </c>
      <c r="D37" s="32" t="s">
        <v>66</v>
      </c>
      <c r="E37" s="11" t="s">
        <v>219</v>
      </c>
    </row>
    <row r="38" customFormat="false" ht="15" hidden="false" customHeight="false" outlineLevel="0" collapsed="false">
      <c r="A38" s="9" t="s">
        <v>220</v>
      </c>
      <c r="B38" s="32" t="s">
        <v>128</v>
      </c>
      <c r="C38" s="32" t="s">
        <v>221</v>
      </c>
      <c r="D38" s="32" t="s">
        <v>221</v>
      </c>
    </row>
    <row r="39" customFormat="false" ht="26.85" hidden="false" customHeight="false" outlineLevel="0" collapsed="false">
      <c r="A39" s="9" t="s">
        <v>222</v>
      </c>
      <c r="B39" s="10" t="n">
        <v>4</v>
      </c>
      <c r="C39" s="10" t="n">
        <v>20</v>
      </c>
      <c r="D39" s="10" t="n">
        <v>44</v>
      </c>
      <c r="E39" s="11" t="s">
        <v>223</v>
      </c>
    </row>
    <row r="40" customFormat="false" ht="15" hidden="false" customHeight="false" outlineLevel="0" collapsed="false">
      <c r="A40" s="9" t="s">
        <v>224</v>
      </c>
      <c r="B40" s="26" t="n">
        <f aca="false">B39*ThongSo!$B$10</f>
        <v>20</v>
      </c>
      <c r="C40" s="26" t="n">
        <f aca="false">C39*ThongSo!$B$10</f>
        <v>100</v>
      </c>
      <c r="D40" s="26" t="n">
        <f aca="false">D39*ThongSo!$B$10</f>
        <v>220</v>
      </c>
    </row>
    <row r="41" customFormat="false" ht="15" hidden="false" customHeight="false" outlineLevel="0" collapsed="false">
      <c r="A41" s="9" t="s">
        <v>225</v>
      </c>
      <c r="B41" s="12" t="n">
        <v>0</v>
      </c>
      <c r="C41" s="12" t="n">
        <v>20</v>
      </c>
      <c r="D41" s="12" t="n">
        <v>20</v>
      </c>
    </row>
    <row r="42" customFormat="false" ht="15" hidden="false" customHeight="false" outlineLevel="0" collapsed="false">
      <c r="A42" s="9" t="s">
        <v>226</v>
      </c>
      <c r="B42" s="18" t="n">
        <f aca="false">B39+B40+B41</f>
        <v>24</v>
      </c>
      <c r="C42" s="18" t="n">
        <f aca="false">C39+C40+C41</f>
        <v>140</v>
      </c>
      <c r="D42" s="18" t="n">
        <f aca="false">D39+D40+D41</f>
        <v>284</v>
      </c>
    </row>
    <row r="43" customFormat="false" ht="26.85" hidden="false" customHeight="false" outlineLevel="0" collapsed="false">
      <c r="A43" s="9" t="s">
        <v>227</v>
      </c>
      <c r="B43" s="26" t="n">
        <f aca="false">B39*IF(B38="Pro",INDEX($B$12:$D$12,MATCH(B37,$B$4:$D$4,0)),INDEX($B$11:$D$11,MATCH(B37,$B$4:$D$4,0)))+B41*ThongSo!$B$11/ThongSo!$B$7*ThongSo!$B$12*IF(B38="Pro",ThongSo!$B$30,ThongSo!$C$30)</f>
        <v>2340</v>
      </c>
      <c r="C43" s="26" t="n">
        <f aca="false">C39*IF(C38="Pro",INDEX($B$12:$D$12,MATCH(C37,$B$4:$D$4,0)),INDEX($B$11:$D$11,MATCH(C37,$B$4:$D$4,0)))+C41*ThongSo!$B$11/ThongSo!$B$7*ThongSo!$B$12*IF(C38="Pro",ThongSo!$B$30,ThongSo!$C$30)</f>
        <v>20812.5</v>
      </c>
      <c r="D43" s="26" t="n">
        <f aca="false">D39*IF(D38="Pro",INDEX($B$12:$D$12,MATCH(D37,$B$4:$D$4,0)),INDEX($B$11:$D$11,MATCH(D37,$B$4:$D$4,0)))+D41*ThongSo!$B$11/ThongSo!$B$7*ThongSo!$B$12*IF(D38="Pro",ThongSo!$B$30,ThongSo!$C$30)</f>
        <v>42412.5</v>
      </c>
      <c r="E43" s="11" t="s">
        <v>228</v>
      </c>
    </row>
    <row r="44" customFormat="false" ht="15" hidden="false" customHeight="false" outlineLevel="0" collapsed="false">
      <c r="A44" s="9" t="s">
        <v>229</v>
      </c>
      <c r="B44" s="26" t="n">
        <f aca="false">IF(B38="Pro",ThongSo!$D$35*CongCu!G$9,ThongSo!$D$37*CongCu!G$10)</f>
        <v>2500</v>
      </c>
      <c r="C44" s="26" t="n">
        <f aca="false">IF(C38="Pro",ThongSo!$D$35*CongCu!H$9,ThongSo!$D$37*CongCu!H$10)</f>
        <v>26500</v>
      </c>
      <c r="D44" s="26" t="n">
        <f aca="false">IF(D38="Pro",ThongSo!$D$35*CongCu!I$9,ThongSo!$D$37*CongCu!I$10)</f>
        <v>53000</v>
      </c>
    </row>
    <row r="45" customFormat="false" ht="15" hidden="false" customHeight="false" outlineLevel="0" collapsed="false">
      <c r="A45" s="9" t="s">
        <v>230</v>
      </c>
      <c r="B45" s="9" t="str">
        <f aca="false">IF(B44&gt;=B43,"ĐỦ","THIẾU — giảm sản lượng hoặc nâng gói")</f>
        <v>ĐỦ</v>
      </c>
      <c r="C45" s="9" t="str">
        <f aca="false">IF(C44&gt;=C43,"ĐỦ","THIẾU — giảm sản lượng hoặc nâng gói")</f>
        <v>ĐỦ</v>
      </c>
      <c r="D45" s="9" t="str">
        <f aca="false">IF(D44&gt;=D43,"ĐỦ","THIẾU — giảm sản lượng hoặc nâng gói")</f>
        <v>ĐỦ</v>
      </c>
    </row>
    <row r="46" customFormat="false" ht="15" hidden="false" customHeight="false" outlineLevel="0" collapsed="false">
      <c r="A46" s="21" t="s">
        <v>231</v>
      </c>
      <c r="B46" s="33" t="n">
        <f aca="false">CongCu!G23</f>
        <v>79.189</v>
      </c>
      <c r="C46" s="33" t="n">
        <f aca="false">CongCu!H23</f>
        <v>514.789</v>
      </c>
      <c r="D46" s="33" t="n">
        <f aca="false">CongCu!I23</f>
        <v>1070.278</v>
      </c>
    </row>
    <row r="47" customFormat="false" ht="15" hidden="false" customHeight="false" outlineLevel="0" collapsed="false">
      <c r="A47" s="21" t="s">
        <v>232</v>
      </c>
      <c r="B47" s="25" t="n">
        <f aca="false">B46*ThongSo!$B$5</f>
        <v>2098508.5</v>
      </c>
      <c r="C47" s="25" t="n">
        <f aca="false">C46*ThongSo!$B$5</f>
        <v>13641908.5</v>
      </c>
      <c r="D47" s="25" t="n">
        <f aca="false">D46*ThongSo!$B$5</f>
        <v>28362367</v>
      </c>
    </row>
    <row r="48" customFormat="false" ht="26.85" hidden="false" customHeight="false" outlineLevel="0" collapsed="false">
      <c r="A48" s="29" t="s">
        <v>233</v>
      </c>
      <c r="B48" s="30" t="n">
        <f aca="false">IF(B39&gt;0,B46/B39,0)</f>
        <v>19.79725</v>
      </c>
      <c r="C48" s="30" t="n">
        <f aca="false">IF(C39&gt;0,C46/C39,0)</f>
        <v>25.73945</v>
      </c>
      <c r="D48" s="30" t="n">
        <f aca="false">IF(D39&gt;0,D46/D39,0)</f>
        <v>24.3245</v>
      </c>
    </row>
    <row r="49" customFormat="false" ht="15" hidden="false" customHeight="false" outlineLevel="0" collapsed="false">
      <c r="A49" s="21" t="s">
        <v>234</v>
      </c>
      <c r="B49" s="25" t="n">
        <f aca="false">B48*ThongSo!$B$5</f>
        <v>524627.125</v>
      </c>
      <c r="C49" s="25" t="n">
        <f aca="false">C48*ThongSo!$B$5</f>
        <v>682095.425</v>
      </c>
      <c r="D49" s="25" t="n">
        <f aca="false">D48*ThongSo!$B$5</f>
        <v>644599.25</v>
      </c>
    </row>
    <row r="50" customFormat="false" ht="15" hidden="false" customHeight="false" outlineLevel="0" collapsed="false">
      <c r="A50" s="21" t="s">
        <v>235</v>
      </c>
      <c r="B50" s="30" t="n">
        <f aca="false">IF(B42&gt;0,B46/B42,0)</f>
        <v>3.29954166666667</v>
      </c>
      <c r="C50" s="30" t="n">
        <f aca="false">IF(C42&gt;0,C46/C42,0)</f>
        <v>3.67706428571429</v>
      </c>
      <c r="D50" s="30" t="n">
        <f aca="false">IF(D42&gt;0,D46/D42,0)</f>
        <v>3.76858450704225</v>
      </c>
    </row>
    <row r="51" customFormat="false" ht="15" hidden="false" customHeight="false" outlineLevel="0" collapsed="false">
      <c r="A51" s="21" t="s">
        <v>236</v>
      </c>
      <c r="B51" s="25" t="n">
        <f aca="false">B50*ThongSo!$B$5</f>
        <v>87437.8541666667</v>
      </c>
      <c r="C51" s="25" t="n">
        <f aca="false">C50*ThongSo!$B$5</f>
        <v>97442.2035714286</v>
      </c>
      <c r="D51" s="25" t="n">
        <f aca="false">D50*ThongSo!$B$5</f>
        <v>99867.4894366197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5" min="4" style="0" width="16"/>
    <col collapsed="false" customWidth="true" hidden="false" outlineLevel="0" max="6" min="6" style="0" width="4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39.55" hidden="false" customHeight="false" outlineLevel="0" collapsed="false">
      <c r="A4" s="8" t="s">
        <v>118</v>
      </c>
      <c r="B4" s="8" t="s">
        <v>239</v>
      </c>
      <c r="C4" s="8" t="s">
        <v>240</v>
      </c>
      <c r="D4" s="8" t="s">
        <v>241</v>
      </c>
      <c r="E4" s="8" t="s">
        <v>242</v>
      </c>
      <c r="F4" s="8" t="s">
        <v>68</v>
      </c>
    </row>
    <row r="5" customFormat="false" ht="15" hidden="false" customHeight="false" outlineLevel="0" collapsed="false">
      <c r="A5" s="9" t="n">
        <v>1</v>
      </c>
      <c r="B5" s="11" t="s">
        <v>243</v>
      </c>
      <c r="C5" s="11" t="s">
        <v>244</v>
      </c>
      <c r="D5" s="12" t="n">
        <v>30</v>
      </c>
      <c r="E5" s="12" t="n">
        <v>15</v>
      </c>
      <c r="F5" s="11" t="s">
        <v>245</v>
      </c>
    </row>
    <row r="6" customFormat="false" ht="15" hidden="false" customHeight="false" outlineLevel="0" collapsed="false">
      <c r="A6" s="9" t="n">
        <v>2</v>
      </c>
      <c r="B6" s="11" t="s">
        <v>246</v>
      </c>
      <c r="C6" s="11" t="s">
        <v>247</v>
      </c>
      <c r="D6" s="12" t="n">
        <v>45</v>
      </c>
      <c r="E6" s="12" t="n">
        <v>20</v>
      </c>
      <c r="F6" s="11" t="s">
        <v>248</v>
      </c>
    </row>
    <row r="7" customFormat="false" ht="15" hidden="false" customHeight="false" outlineLevel="0" collapsed="false">
      <c r="A7" s="9" t="n">
        <v>3</v>
      </c>
      <c r="B7" s="11" t="s">
        <v>249</v>
      </c>
      <c r="C7" s="11" t="s">
        <v>250</v>
      </c>
      <c r="D7" s="12" t="n">
        <v>15</v>
      </c>
      <c r="E7" s="12" t="n">
        <v>10</v>
      </c>
      <c r="F7" s="11" t="s">
        <v>251</v>
      </c>
    </row>
    <row r="8" customFormat="false" ht="15" hidden="false" customHeight="false" outlineLevel="0" collapsed="false">
      <c r="A8" s="9" t="n">
        <v>4</v>
      </c>
      <c r="B8" s="11" t="s">
        <v>198</v>
      </c>
      <c r="C8" s="11" t="s">
        <v>150</v>
      </c>
      <c r="D8" s="12" t="n">
        <v>20</v>
      </c>
      <c r="E8" s="12" t="n">
        <v>10</v>
      </c>
      <c r="F8" s="11" t="s">
        <v>252</v>
      </c>
    </row>
    <row r="9" customFormat="false" ht="15" hidden="false" customHeight="false" outlineLevel="0" collapsed="false">
      <c r="A9" s="9" t="n">
        <v>5</v>
      </c>
      <c r="B9" s="11" t="s">
        <v>253</v>
      </c>
      <c r="C9" s="11" t="s">
        <v>254</v>
      </c>
      <c r="D9" s="12" t="n">
        <v>45</v>
      </c>
      <c r="E9" s="12" t="n">
        <v>25</v>
      </c>
      <c r="F9" s="11" t="s">
        <v>255</v>
      </c>
    </row>
    <row r="10" customFormat="false" ht="15" hidden="false" customHeight="false" outlineLevel="0" collapsed="false">
      <c r="A10" s="9" t="n">
        <v>6</v>
      </c>
      <c r="B10" s="11" t="s">
        <v>256</v>
      </c>
      <c r="C10" s="11" t="s">
        <v>257</v>
      </c>
      <c r="D10" s="12" t="n">
        <v>90</v>
      </c>
      <c r="E10" s="12" t="n">
        <v>50</v>
      </c>
      <c r="F10" s="11" t="s">
        <v>258</v>
      </c>
    </row>
    <row r="11" customFormat="false" ht="15" hidden="false" customHeight="false" outlineLevel="0" collapsed="false">
      <c r="A11" s="9" t="n">
        <v>7</v>
      </c>
      <c r="B11" s="11" t="s">
        <v>259</v>
      </c>
      <c r="C11" s="11" t="s">
        <v>260</v>
      </c>
      <c r="D11" s="12" t="n">
        <v>60</v>
      </c>
      <c r="E11" s="12" t="n">
        <v>35</v>
      </c>
      <c r="F11" s="11" t="s">
        <v>261</v>
      </c>
    </row>
    <row r="12" customFormat="false" ht="26.85" hidden="false" customHeight="false" outlineLevel="0" collapsed="false">
      <c r="A12" s="9" t="n">
        <v>8</v>
      </c>
      <c r="B12" s="11" t="s">
        <v>262</v>
      </c>
      <c r="C12" s="11" t="s">
        <v>263</v>
      </c>
      <c r="D12" s="12" t="n">
        <v>25</v>
      </c>
      <c r="E12" s="12" t="n">
        <v>15</v>
      </c>
      <c r="F12" s="11" t="s">
        <v>264</v>
      </c>
    </row>
    <row r="13" customFormat="false" ht="15" hidden="false" customHeight="false" outlineLevel="0" collapsed="false">
      <c r="A13" s="9" t="n">
        <v>9</v>
      </c>
      <c r="B13" s="11" t="s">
        <v>265</v>
      </c>
      <c r="C13" s="11" t="s">
        <v>266</v>
      </c>
      <c r="D13" s="12" t="n">
        <v>20</v>
      </c>
      <c r="E13" s="12" t="n">
        <v>10</v>
      </c>
      <c r="F13" s="11" t="s">
        <v>267</v>
      </c>
    </row>
    <row r="14" customFormat="false" ht="15" hidden="false" customHeight="false" outlineLevel="0" collapsed="false">
      <c r="B14" s="21" t="s">
        <v>268</v>
      </c>
      <c r="D14" s="34" t="n">
        <f aca="false">SUM(D5:D13)</f>
        <v>350</v>
      </c>
      <c r="E14" s="34" t="n">
        <f aca="false">SUM(E5:E13)</f>
        <v>190</v>
      </c>
    </row>
    <row r="15" customFormat="false" ht="15" hidden="false" customHeight="false" outlineLevel="0" collapsed="false">
      <c r="B15" s="21" t="s">
        <v>269</v>
      </c>
      <c r="D15" s="35" t="n">
        <f aca="false">D14/60</f>
        <v>5.83333333333333</v>
      </c>
      <c r="E15" s="35" t="n">
        <f aca="false">E14/60</f>
        <v>3.16666666666667</v>
      </c>
    </row>
    <row r="17" customFormat="false" ht="26.85" hidden="false" customHeight="false" outlineLevel="0" collapsed="false">
      <c r="B17" s="11" t="s">
        <v>270</v>
      </c>
      <c r="C17" s="9" t="s">
        <v>271</v>
      </c>
      <c r="D17" s="12" t="n">
        <v>40</v>
      </c>
      <c r="E17" s="12" t="n">
        <v>25</v>
      </c>
    </row>
    <row r="18" customFormat="false" ht="15" hidden="false" customHeight="false" outlineLevel="0" collapsed="false">
      <c r="B18" s="11" t="s">
        <v>272</v>
      </c>
      <c r="C18" s="9" t="s">
        <v>273</v>
      </c>
      <c r="D18" s="12" t="n">
        <v>45</v>
      </c>
      <c r="E18" s="12" t="n">
        <v>30</v>
      </c>
    </row>
    <row r="20" customFormat="false" ht="15" hidden="false" customHeight="false" outlineLevel="0" collapsed="false">
      <c r="A20" s="14" t="s">
        <v>274</v>
      </c>
      <c r="B20" s="15"/>
      <c r="C20" s="15"/>
      <c r="D20" s="15"/>
      <c r="E20" s="15"/>
      <c r="F20" s="15"/>
    </row>
    <row r="21" customFormat="false" ht="15" hidden="false" customHeight="false" outlineLevel="0" collapsed="false">
      <c r="B21" s="9" t="s">
        <v>275</v>
      </c>
      <c r="D21" s="26" t="n">
        <f aca="false">ThongSo!$B$16*60</f>
        <v>420</v>
      </c>
      <c r="E21" s="26" t="n">
        <f aca="false">ThongSo!$B$16*60</f>
        <v>420</v>
      </c>
    </row>
    <row r="22" customFormat="false" ht="15" hidden="false" customHeight="false" outlineLevel="0" collapsed="false">
      <c r="B22" s="9" t="s">
        <v>276</v>
      </c>
      <c r="D22" s="35" t="n">
        <f aca="false">D21/(D14+D17)</f>
        <v>1.07692307692308</v>
      </c>
      <c r="E22" s="35" t="n">
        <f aca="false">E21/(E14+E17)</f>
        <v>1.95348837209302</v>
      </c>
    </row>
    <row r="24" customFormat="false" ht="15" hidden="false" customHeight="false" outlineLevel="0" collapsed="false">
      <c r="A24" s="14" t="s">
        <v>277</v>
      </c>
      <c r="B24" s="15"/>
      <c r="C24" s="15"/>
      <c r="D24" s="15"/>
      <c r="E24" s="15"/>
      <c r="F24" s="15"/>
    </row>
    <row r="25" customFormat="false" ht="26.85" hidden="false" customHeight="false" outlineLevel="0" collapsed="false">
      <c r="A25" s="8"/>
      <c r="B25" s="8" t="s">
        <v>278</v>
      </c>
      <c r="C25" s="8" t="s">
        <v>279</v>
      </c>
      <c r="D25" s="8" t="s">
        <v>280</v>
      </c>
      <c r="E25" s="8" t="s">
        <v>281</v>
      </c>
      <c r="F25" s="8" t="s">
        <v>282</v>
      </c>
      <c r="G25" s="8" t="s">
        <v>283</v>
      </c>
    </row>
    <row r="26" customFormat="false" ht="26.85" hidden="false" customHeight="false" outlineLevel="0" collapsed="false">
      <c r="B26" s="29" t="s">
        <v>284</v>
      </c>
      <c r="C26" s="13" t="n">
        <v>0.6</v>
      </c>
      <c r="D26" s="27" t="n">
        <f aca="false">C26*ThongSo!$B$10</f>
        <v>3</v>
      </c>
      <c r="E26" s="13" t="n">
        <v>0</v>
      </c>
      <c r="F26" s="18" t="n">
        <f aca="false">C26*(D$14+D$17)+E26*D$18</f>
        <v>234</v>
      </c>
      <c r="G26" s="36" t="n">
        <f aca="false">F26/$D$21</f>
        <v>0.557142857142857</v>
      </c>
    </row>
    <row r="27" customFormat="false" ht="15" hidden="false" customHeight="false" outlineLevel="0" collapsed="false">
      <c r="B27" s="29" t="s">
        <v>285</v>
      </c>
      <c r="C27" s="13" t="n">
        <v>1</v>
      </c>
      <c r="D27" s="27" t="n">
        <f aca="false">C27*ThongSo!$B$10</f>
        <v>5</v>
      </c>
      <c r="E27" s="13" t="n">
        <v>1</v>
      </c>
      <c r="F27" s="18" t="n">
        <f aca="false">C27*(E$14+E$17)+E27*E$18</f>
        <v>245</v>
      </c>
      <c r="G27" s="36" t="n">
        <f aca="false">F27/$D$21</f>
        <v>0.583333333333333</v>
      </c>
    </row>
    <row r="28" customFormat="false" ht="26.85" hidden="false" customHeight="false" outlineLevel="0" collapsed="false">
      <c r="B28" s="29" t="s">
        <v>286</v>
      </c>
      <c r="C28" s="13" t="n">
        <v>2</v>
      </c>
      <c r="D28" s="27" t="n">
        <f aca="false">C28*ThongSo!$B$10</f>
        <v>10</v>
      </c>
      <c r="E28" s="13" t="n">
        <v>0</v>
      </c>
      <c r="F28" s="18" t="n">
        <f aca="false">C28*(E$14+E$17)+E28*E$18</f>
        <v>430</v>
      </c>
      <c r="G28" s="36" t="n">
        <f aca="false">F28/$D$21</f>
        <v>1.02380952380952</v>
      </c>
    </row>
    <row r="29" customFormat="false" ht="15" hidden="false" customHeight="false" outlineLevel="0" collapsed="false">
      <c r="B29" s="9" t="s">
        <v>287</v>
      </c>
    </row>
    <row r="31" customFormat="false" ht="15" hidden="false" customHeight="false" outlineLevel="0" collapsed="false">
      <c r="A31" s="14" t="s">
        <v>288</v>
      </c>
      <c r="B31" s="15"/>
      <c r="C31" s="15"/>
      <c r="D31" s="15"/>
      <c r="E31" s="15"/>
      <c r="F31" s="15"/>
    </row>
    <row r="32" customFormat="false" ht="15" hidden="false" customHeight="false" outlineLevel="0" collapsed="false">
      <c r="A32" s="8"/>
      <c r="B32" s="8" t="s">
        <v>289</v>
      </c>
      <c r="C32" s="8" t="s">
        <v>290</v>
      </c>
      <c r="D32" s="8" t="s">
        <v>291</v>
      </c>
      <c r="E32" s="8" t="s">
        <v>292</v>
      </c>
      <c r="F32" s="8" t="s">
        <v>68</v>
      </c>
    </row>
    <row r="33" customFormat="false" ht="15" hidden="false" customHeight="false" outlineLevel="0" collapsed="false">
      <c r="B33" s="11" t="s">
        <v>293</v>
      </c>
      <c r="C33" s="11" t="s">
        <v>294</v>
      </c>
      <c r="D33" s="11" t="s">
        <v>295</v>
      </c>
      <c r="E33" s="11" t="s">
        <v>296</v>
      </c>
      <c r="F33" s="11" t="s">
        <v>297</v>
      </c>
    </row>
    <row r="34" customFormat="false" ht="15" hidden="false" customHeight="false" outlineLevel="0" collapsed="false">
      <c r="B34" s="11" t="s">
        <v>293</v>
      </c>
      <c r="C34" s="11" t="s">
        <v>298</v>
      </c>
      <c r="D34" s="11" t="s">
        <v>296</v>
      </c>
      <c r="E34" s="11" t="s">
        <v>299</v>
      </c>
      <c r="F34" s="11" t="s">
        <v>300</v>
      </c>
    </row>
    <row r="35" customFormat="false" ht="26.85" hidden="false" customHeight="false" outlineLevel="0" collapsed="false">
      <c r="B35" s="11" t="s">
        <v>301</v>
      </c>
      <c r="C35" s="11" t="s">
        <v>302</v>
      </c>
      <c r="D35" s="11" t="s">
        <v>296</v>
      </c>
      <c r="E35" s="11" t="s">
        <v>303</v>
      </c>
      <c r="F35" s="11" t="s">
        <v>304</v>
      </c>
    </row>
    <row r="36" customFormat="false" ht="26.85" hidden="false" customHeight="false" outlineLevel="0" collapsed="false">
      <c r="B36" s="11" t="s">
        <v>305</v>
      </c>
      <c r="C36" s="11" t="s">
        <v>306</v>
      </c>
      <c r="D36" s="11" t="s">
        <v>296</v>
      </c>
      <c r="E36" s="11" t="s">
        <v>307</v>
      </c>
      <c r="F36" s="11" t="s">
        <v>308</v>
      </c>
    </row>
    <row r="37" customFormat="false" ht="15" hidden="false" customHeight="false" outlineLevel="0" collapsed="false">
      <c r="B37" s="11" t="s">
        <v>309</v>
      </c>
      <c r="C37" s="11" t="s">
        <v>306</v>
      </c>
      <c r="D37" s="11" t="s">
        <v>296</v>
      </c>
      <c r="E37" s="11" t="s">
        <v>307</v>
      </c>
      <c r="F37" s="11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15" hidden="false" customHeight="false" outlineLevel="0" collapsed="false">
      <c r="A4" s="8" t="s">
        <v>32</v>
      </c>
      <c r="B4" s="8" t="s">
        <v>33</v>
      </c>
      <c r="C4" s="8" t="s">
        <v>34</v>
      </c>
      <c r="D4" s="8" t="s">
        <v>35</v>
      </c>
    </row>
    <row r="5" customFormat="false" ht="26.85" hidden="false" customHeight="false" outlineLevel="0" collapsed="false">
      <c r="A5" s="11" t="s">
        <v>313</v>
      </c>
      <c r="B5" s="37" t="n">
        <v>6</v>
      </c>
      <c r="C5" s="9" t="s">
        <v>314</v>
      </c>
      <c r="D5" s="11" t="s">
        <v>315</v>
      </c>
    </row>
    <row r="6" customFormat="false" ht="15" hidden="false" customHeight="false" outlineLevel="0" collapsed="false">
      <c r="A6" s="11" t="s">
        <v>316</v>
      </c>
      <c r="B6" s="37" t="n">
        <v>0.05</v>
      </c>
      <c r="C6" s="9" t="s">
        <v>314</v>
      </c>
      <c r="D6" s="11" t="s">
        <v>317</v>
      </c>
    </row>
    <row r="7" customFormat="false" ht="15" hidden="false" customHeight="false" outlineLevel="0" collapsed="false">
      <c r="A7" s="11" t="s">
        <v>318</v>
      </c>
      <c r="B7" s="10" t="n">
        <v>5000</v>
      </c>
      <c r="C7" s="9" t="s">
        <v>319</v>
      </c>
      <c r="D7" s="11" t="s">
        <v>320</v>
      </c>
    </row>
    <row r="8" customFormat="false" ht="15" hidden="false" customHeight="false" outlineLevel="0" collapsed="false">
      <c r="A8" s="11" t="s">
        <v>321</v>
      </c>
      <c r="B8" s="10" t="n">
        <v>3000</v>
      </c>
      <c r="C8" s="9" t="s">
        <v>319</v>
      </c>
      <c r="D8" s="11"/>
    </row>
    <row r="9" customFormat="false" ht="15" hidden="false" customHeight="false" outlineLevel="0" collapsed="false">
      <c r="A9" s="11" t="s">
        <v>322</v>
      </c>
      <c r="B9" s="38" t="s">
        <v>213</v>
      </c>
      <c r="C9" s="9"/>
      <c r="D9" s="11" t="s">
        <v>323</v>
      </c>
    </row>
    <row r="10" customFormat="false" ht="15" hidden="false" customHeight="false" outlineLevel="0" collapsed="false">
      <c r="A10" s="11" t="s">
        <v>324</v>
      </c>
      <c r="B10" s="39" t="n">
        <v>15000000</v>
      </c>
      <c r="C10" s="9" t="s">
        <v>325</v>
      </c>
      <c r="D10" s="11" t="s">
        <v>326</v>
      </c>
    </row>
    <row r="12" customFormat="false" ht="15" hidden="false" customHeight="false" outlineLevel="0" collapsed="false">
      <c r="A12" s="14" t="s">
        <v>327</v>
      </c>
      <c r="B12" s="15"/>
      <c r="C12" s="15"/>
      <c r="D12" s="15"/>
    </row>
    <row r="13" customFormat="false" ht="15" hidden="false" customHeight="false" outlineLevel="0" collapsed="false">
      <c r="A13" s="11" t="s">
        <v>328</v>
      </c>
      <c r="B13" s="23" t="n">
        <f aca="false">INDEX(ChiPhiVideo!$B$46:$D$46,MATCH($B$9,ChiPhiVideo!$B$35:$D$35,0))</f>
        <v>514.789</v>
      </c>
    </row>
    <row r="14" customFormat="false" ht="15" hidden="false" customHeight="false" outlineLevel="0" collapsed="false">
      <c r="A14" s="11" t="s">
        <v>329</v>
      </c>
      <c r="B14" s="23" t="n">
        <f aca="false">B10/ThongSo!$B$5</f>
        <v>566.037735849057</v>
      </c>
    </row>
    <row r="15" customFormat="false" ht="15" hidden="false" customHeight="false" outlineLevel="0" collapsed="false">
      <c r="A15" s="29" t="s">
        <v>330</v>
      </c>
      <c r="B15" s="24" t="n">
        <f aca="false">B13+B14</f>
        <v>1080.82673584906</v>
      </c>
    </row>
    <row r="16" customFormat="false" ht="15" hidden="false" customHeight="false" outlineLevel="0" collapsed="false">
      <c r="A16" s="11" t="s">
        <v>222</v>
      </c>
      <c r="B16" s="26" t="n">
        <f aca="false">INDEX(ChiPhiVideo!$B$39:$D$39,MATCH($B$9,ChiPhiVideo!$B$35:$D$35,0))</f>
        <v>20</v>
      </c>
    </row>
    <row r="17" customFormat="false" ht="15" hidden="false" customHeight="false" outlineLevel="0" collapsed="false">
      <c r="A17" s="11" t="s">
        <v>331</v>
      </c>
      <c r="B17" s="26" t="n">
        <f aca="false">INDEX(ChiPhiVideo!$B$40:$D$40,MATCH($B$9,ChiPhiVideo!$B$35:$D$35,0))+INDEX(ChiPhiVideo!$B$41:$D$41,MATCH($B$9,ChiPhiVideo!$B$35:$D$35,0))</f>
        <v>120</v>
      </c>
    </row>
    <row r="18" customFormat="false" ht="15" hidden="false" customHeight="false" outlineLevel="0" collapsed="false">
      <c r="A18" s="11" t="s">
        <v>332</v>
      </c>
      <c r="B18" s="22" t="n">
        <f aca="false">B16*B7*B5/1000</f>
        <v>600</v>
      </c>
    </row>
    <row r="19" customFormat="false" ht="15" hidden="false" customHeight="false" outlineLevel="0" collapsed="false">
      <c r="A19" s="11" t="s">
        <v>333</v>
      </c>
      <c r="B19" s="22" t="n">
        <f aca="false">B17*B8*B6/1000</f>
        <v>18</v>
      </c>
    </row>
    <row r="20" customFormat="false" ht="15" hidden="false" customHeight="false" outlineLevel="0" collapsed="false">
      <c r="A20" s="29" t="s">
        <v>334</v>
      </c>
      <c r="B20" s="24" t="n">
        <f aca="false">B18+B19</f>
        <v>618</v>
      </c>
    </row>
    <row r="21" customFormat="false" ht="15" hidden="false" customHeight="false" outlineLevel="0" collapsed="false">
      <c r="A21" s="29" t="s">
        <v>335</v>
      </c>
      <c r="B21" s="24" t="n">
        <f aca="false">B20-B15</f>
        <v>-462.826735849057</v>
      </c>
    </row>
    <row r="22" customFormat="false" ht="15" hidden="false" customHeight="false" outlineLevel="0" collapsed="false">
      <c r="A22" s="29" t="s">
        <v>336</v>
      </c>
      <c r="B22" s="25" t="n">
        <f aca="false">B21*ThongSo!$B$5</f>
        <v>-12264908.5</v>
      </c>
    </row>
    <row r="23" customFormat="false" ht="26.85" hidden="false" customHeight="false" outlineLevel="0" collapsed="false">
      <c r="A23" s="29" t="s">
        <v>337</v>
      </c>
      <c r="B23" s="34" t="n">
        <f aca="false">IF(B16*B5&gt;0,MAX(0,B15-B19)/(B16*B5/1000),0)</f>
        <v>8856.88946540881</v>
      </c>
    </row>
    <row r="24" customFormat="false" ht="15" hidden="false" customHeight="false" outlineLevel="0" collapsed="false">
      <c r="A24" s="29" t="s">
        <v>338</v>
      </c>
      <c r="B24" s="34" t="n">
        <f aca="false">IF(B16*B5&gt;0,MAX(0,B13-B19)/(B16*B5/1000),0)</f>
        <v>4139.90833333333</v>
      </c>
    </row>
    <row r="26" customFormat="false" ht="15" hidden="false" customHeight="false" outlineLevel="0" collapsed="false">
      <c r="A26" s="14" t="s">
        <v>339</v>
      </c>
      <c r="B26" s="15"/>
      <c r="C26" s="15"/>
      <c r="D26" s="15"/>
    </row>
    <row r="27" customFormat="false" ht="26.85" hidden="false" customHeight="false" outlineLevel="0" collapsed="false">
      <c r="A27" s="11" t="s">
        <v>340</v>
      </c>
      <c r="B27" s="40" t="n">
        <v>46418</v>
      </c>
      <c r="C27" s="9" t="s">
        <v>60</v>
      </c>
      <c r="D27" s="11" t="s">
        <v>341</v>
      </c>
    </row>
    <row r="28" customFormat="false" ht="15" hidden="false" customHeight="false" outlineLevel="0" collapsed="false">
      <c r="A28" s="11" t="s">
        <v>342</v>
      </c>
      <c r="B28" s="40" t="n">
        <v>46317</v>
      </c>
      <c r="C28" s="9" t="s">
        <v>60</v>
      </c>
      <c r="D28" s="11" t="s">
        <v>343</v>
      </c>
    </row>
    <row r="29" customFormat="false" ht="15" hidden="false" customHeight="false" outlineLevel="0" collapsed="false">
      <c r="A29" s="11" t="s">
        <v>344</v>
      </c>
      <c r="B29" s="41" t="n">
        <v>4</v>
      </c>
      <c r="C29" s="9" t="s">
        <v>345</v>
      </c>
      <c r="D29" s="11" t="s">
        <v>346</v>
      </c>
    </row>
    <row r="30" customFormat="false" ht="15" hidden="false" customHeight="false" outlineLevel="0" collapsed="false">
      <c r="A30" s="11" t="s">
        <v>347</v>
      </c>
      <c r="B30" s="41" t="n">
        <v>4</v>
      </c>
      <c r="C30" s="9" t="s">
        <v>348</v>
      </c>
      <c r="D30" s="11" t="s">
        <v>349</v>
      </c>
    </row>
    <row r="31" customFormat="false" ht="15" hidden="false" customHeight="false" outlineLevel="0" collapsed="false">
      <c r="A31" s="11" t="s">
        <v>350</v>
      </c>
      <c r="B31" s="12" t="n">
        <v>4000</v>
      </c>
      <c r="C31" s="9" t="s">
        <v>62</v>
      </c>
      <c r="D31" s="11" t="s">
        <v>351</v>
      </c>
    </row>
    <row r="32" customFormat="false" ht="15" hidden="false" customHeight="false" outlineLevel="0" collapsed="false">
      <c r="A32" s="29" t="s">
        <v>352</v>
      </c>
      <c r="B32" s="35" t="n">
        <f aca="false">(B27-B28)/7</f>
        <v>14.4285714285714</v>
      </c>
    </row>
    <row r="33" customFormat="false" ht="15" hidden="false" customHeight="false" outlineLevel="0" collapsed="false">
      <c r="A33" s="29" t="s">
        <v>353</v>
      </c>
      <c r="B33" s="34" t="n">
        <f aca="false">ROUNDDOWN(B32*B29,0)</f>
        <v>57</v>
      </c>
    </row>
    <row r="34" customFormat="false" ht="15" hidden="false" customHeight="false" outlineLevel="0" collapsed="false">
      <c r="A34" s="29" t="s">
        <v>354</v>
      </c>
      <c r="B34" s="34" t="n">
        <f aca="false">B31*60/B30</f>
        <v>60000</v>
      </c>
    </row>
    <row r="35" customFormat="false" ht="26.85" hidden="false" customHeight="false" outlineLevel="0" collapsed="false">
      <c r="A35" s="29" t="s">
        <v>355</v>
      </c>
      <c r="B35" s="34" t="n">
        <f aca="false">IF(B33&gt;0,B34/B33,0)</f>
        <v>1052.63157894737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356</v>
      </c>
    </row>
    <row r="2" customFormat="false" ht="15" hidden="false" customHeight="false" outlineLevel="0" collapsed="false">
      <c r="A2" s="2" t="s">
        <v>357</v>
      </c>
    </row>
    <row r="4" customFormat="false" ht="15" hidden="false" customHeight="false" outlineLevel="0" collapsed="false">
      <c r="A4" s="21" t="s">
        <v>358</v>
      </c>
      <c r="B4" s="10" t="n">
        <v>12</v>
      </c>
    </row>
    <row r="5" customFormat="false" ht="15" hidden="false" customHeight="false" outlineLevel="0" collapsed="false">
      <c r="A5" s="21" t="s">
        <v>359</v>
      </c>
      <c r="B5" s="12" t="n">
        <v>6</v>
      </c>
    </row>
    <row r="7" customFormat="false" ht="26.85" hidden="false" customHeight="false" outlineLevel="0" collapsed="false">
      <c r="A7" s="8" t="s">
        <v>289</v>
      </c>
      <c r="B7" s="8" t="s">
        <v>290</v>
      </c>
      <c r="C7" s="8" t="s">
        <v>360</v>
      </c>
      <c r="D7" s="8" t="s">
        <v>361</v>
      </c>
      <c r="E7" s="8" t="s">
        <v>362</v>
      </c>
      <c r="F7" s="8" t="s">
        <v>363</v>
      </c>
      <c r="G7" s="8" t="s">
        <v>364</v>
      </c>
    </row>
    <row r="8" customFormat="false" ht="15" hidden="false" customHeight="false" outlineLevel="0" collapsed="false">
      <c r="A8" s="9" t="s">
        <v>293</v>
      </c>
      <c r="B8" s="9" t="s">
        <v>365</v>
      </c>
      <c r="C8" s="42" t="n">
        <v>0.0833333333333333</v>
      </c>
      <c r="D8" s="43" t="n">
        <f aca="false">MOD(C8-$B$4/24,1)</f>
        <v>0.583333333333333</v>
      </c>
      <c r="E8" s="43" t="n">
        <f aca="false">MOD(C8-$B$5/24,1)</f>
        <v>0.83333333333331</v>
      </c>
      <c r="F8" s="9" t="s">
        <v>366</v>
      </c>
      <c r="G8" s="11" t="s">
        <v>367</v>
      </c>
    </row>
    <row r="9" customFormat="false" ht="15" hidden="false" customHeight="false" outlineLevel="0" collapsed="false">
      <c r="A9" s="9" t="s">
        <v>293</v>
      </c>
      <c r="B9" s="9" t="s">
        <v>368</v>
      </c>
      <c r="C9" s="42" t="n">
        <v>0.875</v>
      </c>
      <c r="D9" s="43" t="n">
        <f aca="false">MOD(C9-$B$4/24,1)</f>
        <v>0.375</v>
      </c>
      <c r="E9" s="43" t="n">
        <f aca="false">MOD(C9-$B$5/24,1)</f>
        <v>0.625</v>
      </c>
      <c r="F9" s="9" t="s">
        <v>369</v>
      </c>
      <c r="G9" s="11" t="s">
        <v>370</v>
      </c>
    </row>
    <row r="10" customFormat="false" ht="15" hidden="false" customHeight="false" outlineLevel="0" collapsed="false">
      <c r="A10" s="9" t="s">
        <v>293</v>
      </c>
      <c r="B10" s="9" t="s">
        <v>371</v>
      </c>
      <c r="C10" s="42" t="n">
        <v>0.0416666666666667</v>
      </c>
      <c r="D10" s="43" t="n">
        <f aca="false">MOD(C10-$B$4/24,1)</f>
        <v>0.541666666666667</v>
      </c>
      <c r="E10" s="43" t="n">
        <f aca="false">MOD(C10-$B$5/24,1)</f>
        <v>0.791666666666667</v>
      </c>
      <c r="F10" s="9" t="s">
        <v>369</v>
      </c>
      <c r="G10" s="11" t="s">
        <v>372</v>
      </c>
    </row>
    <row r="11" customFormat="false" ht="15" hidden="false" customHeight="false" outlineLevel="0" collapsed="false">
      <c r="A11" s="9" t="s">
        <v>293</v>
      </c>
      <c r="B11" s="9" t="s">
        <v>373</v>
      </c>
      <c r="C11" s="42" t="n">
        <v>0.291666666666667</v>
      </c>
      <c r="D11" s="43" t="n">
        <f aca="false">MOD(C11-$B$4/24,1)</f>
        <v>0.791666666666667</v>
      </c>
      <c r="E11" s="43" t="n">
        <f aca="false">MOD(C11-$B$5/24,1)</f>
        <v>0.0416666666666667</v>
      </c>
      <c r="F11" s="9" t="s">
        <v>369</v>
      </c>
      <c r="G11" s="11" t="s">
        <v>374</v>
      </c>
    </row>
    <row r="12" customFormat="false" ht="15" hidden="false" customHeight="false" outlineLevel="0" collapsed="false">
      <c r="A12" s="9" t="s">
        <v>293</v>
      </c>
      <c r="B12" s="9" t="s">
        <v>375</v>
      </c>
      <c r="C12" s="42" t="n">
        <v>0.958333333333333</v>
      </c>
      <c r="D12" s="43" t="n">
        <f aca="false">MOD(C12-$B$4/24,1)</f>
        <v>0.458333333333333</v>
      </c>
      <c r="E12" s="43" t="n">
        <f aca="false">MOD(C12-$B$5/24,1)</f>
        <v>0.708333333333333</v>
      </c>
      <c r="F12" s="9" t="s">
        <v>376</v>
      </c>
      <c r="G12" s="11" t="s">
        <v>377</v>
      </c>
    </row>
    <row r="13" customFormat="false" ht="15" hidden="false" customHeight="false" outlineLevel="0" collapsed="false">
      <c r="A13" s="9" t="s">
        <v>301</v>
      </c>
      <c r="B13" s="9" t="s">
        <v>378</v>
      </c>
      <c r="C13" s="42" t="n">
        <v>0.25</v>
      </c>
      <c r="D13" s="43" t="n">
        <f aca="false">MOD(C13-$B$4/24,1)</f>
        <v>0.75</v>
      </c>
      <c r="E13" s="43" t="n">
        <f aca="false">MOD(C13-$B$5/24,1)</f>
        <v>0</v>
      </c>
      <c r="F13" s="9" t="s">
        <v>379</v>
      </c>
      <c r="G13" s="11" t="s">
        <v>380</v>
      </c>
    </row>
    <row r="14" customFormat="false" ht="15" hidden="false" customHeight="false" outlineLevel="0" collapsed="false">
      <c r="A14" s="9" t="s">
        <v>301</v>
      </c>
      <c r="B14" s="9" t="s">
        <v>378</v>
      </c>
      <c r="C14" s="42" t="n">
        <v>0.333333333333333</v>
      </c>
      <c r="D14" s="43" t="n">
        <f aca="false">MOD(C14-$B$4/24,1)</f>
        <v>0.83333333333331</v>
      </c>
      <c r="E14" s="43" t="n">
        <f aca="false">MOD(C14-$B$5/24,1)</f>
        <v>0.0833333333333333</v>
      </c>
      <c r="F14" s="9" t="s">
        <v>381</v>
      </c>
      <c r="G14" s="11" t="s">
        <v>382</v>
      </c>
    </row>
    <row r="15" customFormat="false" ht="15" hidden="false" customHeight="false" outlineLevel="0" collapsed="false">
      <c r="A15" s="9" t="s">
        <v>305</v>
      </c>
      <c r="B15" s="9" t="s">
        <v>306</v>
      </c>
      <c r="C15" s="42" t="n">
        <v>0</v>
      </c>
      <c r="D15" s="43" t="n">
        <f aca="false">MOD(C15-$B$4/24,1)</f>
        <v>0.5</v>
      </c>
      <c r="E15" s="43" t="n">
        <f aca="false">MOD(C15-$B$5/24,1)</f>
        <v>0.75</v>
      </c>
      <c r="F15" s="9" t="s">
        <v>296</v>
      </c>
      <c r="G15" s="11" t="s">
        <v>383</v>
      </c>
    </row>
    <row r="16" customFormat="false" ht="15" hidden="false" customHeight="false" outlineLevel="0" collapsed="false">
      <c r="A16" s="9" t="s">
        <v>309</v>
      </c>
      <c r="B16" s="9" t="s">
        <v>306</v>
      </c>
      <c r="C16" s="42" t="n">
        <v>0.3125</v>
      </c>
      <c r="D16" s="43" t="n">
        <f aca="false">MOD(C16-$B$4/24,1)</f>
        <v>0.8125</v>
      </c>
      <c r="E16" s="43" t="n">
        <f aca="false">MOD(C16-$B$5/24,1)</f>
        <v>0.0625</v>
      </c>
      <c r="F16" s="9" t="s">
        <v>296</v>
      </c>
      <c r="G16" s="11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11" min="5" style="0" width="11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4" min="14" style="0" width="10"/>
    <col collapsed="false" customWidth="true" hidden="false" outlineLevel="0" max="16" min="15" style="0" width="34"/>
  </cols>
  <sheetData>
    <row r="1" customFormat="false" ht="17.35" hidden="false" customHeight="false" outlineLevel="0" collapsed="false">
      <c r="A1" s="1" t="s">
        <v>385</v>
      </c>
    </row>
    <row r="2" customFormat="false" ht="15" hidden="false" customHeight="false" outlineLevel="0" collapsed="false">
      <c r="A2" s="2" t="s">
        <v>386</v>
      </c>
    </row>
    <row r="4" customFormat="false" ht="26.85" hidden="false" customHeight="false" outlineLevel="0" collapsed="false">
      <c r="A4" s="8" t="s">
        <v>387</v>
      </c>
      <c r="B4" s="8" t="s">
        <v>388</v>
      </c>
      <c r="C4" s="8" t="s">
        <v>389</v>
      </c>
      <c r="D4" s="8" t="s">
        <v>390</v>
      </c>
      <c r="E4" s="8" t="s">
        <v>278</v>
      </c>
      <c r="F4" s="8" t="s">
        <v>391</v>
      </c>
      <c r="G4" s="8" t="s">
        <v>198</v>
      </c>
      <c r="H4" s="8" t="s">
        <v>392</v>
      </c>
      <c r="I4" s="8" t="s">
        <v>393</v>
      </c>
      <c r="J4" s="8" t="s">
        <v>394</v>
      </c>
      <c r="K4" s="8" t="s">
        <v>395</v>
      </c>
      <c r="L4" s="8" t="s">
        <v>396</v>
      </c>
      <c r="M4" s="8" t="s">
        <v>397</v>
      </c>
      <c r="N4" s="8" t="s">
        <v>398</v>
      </c>
      <c r="O4" s="8" t="s">
        <v>399</v>
      </c>
      <c r="P4" s="8" t="s">
        <v>400</v>
      </c>
    </row>
    <row r="5" customFormat="false" ht="15" hidden="false" customHeight="false" outlineLevel="0" collapsed="false">
      <c r="A5" s="32" t="s">
        <v>401</v>
      </c>
      <c r="B5" s="32" t="s">
        <v>402</v>
      </c>
      <c r="C5" s="32" t="s">
        <v>66</v>
      </c>
      <c r="D5" s="44" t="n">
        <v>46310</v>
      </c>
      <c r="E5" s="32" t="s">
        <v>403</v>
      </c>
      <c r="F5" s="32" t="s">
        <v>404</v>
      </c>
      <c r="G5" s="32" t="s">
        <v>403</v>
      </c>
      <c r="H5" s="32" t="s">
        <v>403</v>
      </c>
      <c r="I5" s="32" t="s">
        <v>405</v>
      </c>
      <c r="J5" s="32" t="s">
        <v>406</v>
      </c>
      <c r="K5" s="32" t="s">
        <v>406</v>
      </c>
      <c r="L5" s="32"/>
      <c r="M5" s="32"/>
      <c r="N5" s="32" t="n">
        <v>0</v>
      </c>
      <c r="O5" s="32"/>
      <c r="P5" s="32"/>
    </row>
    <row r="6" customFormat="false" ht="15" hidden="false" customHeight="false" outlineLevel="0" collapsed="false">
      <c r="A6" s="32"/>
      <c r="B6" s="32"/>
      <c r="C6" s="32"/>
      <c r="D6" s="44"/>
      <c r="E6" s="32"/>
      <c r="F6" s="32"/>
      <c r="G6" s="32"/>
      <c r="H6" s="32"/>
      <c r="I6" s="32"/>
      <c r="J6" s="32"/>
      <c r="K6" s="32"/>
      <c r="L6" s="44"/>
      <c r="M6" s="32"/>
      <c r="N6" s="32"/>
      <c r="O6" s="32"/>
      <c r="P6" s="32"/>
    </row>
    <row r="7" customFormat="false" ht="15" hidden="false" customHeight="false" outlineLevel="0" collapsed="false">
      <c r="A7" s="32"/>
      <c r="B7" s="32"/>
      <c r="C7" s="32"/>
      <c r="D7" s="44"/>
      <c r="E7" s="32"/>
      <c r="F7" s="32"/>
      <c r="G7" s="32"/>
      <c r="H7" s="32"/>
      <c r="I7" s="32"/>
      <c r="J7" s="32"/>
      <c r="K7" s="32"/>
      <c r="L7" s="44"/>
      <c r="M7" s="32"/>
      <c r="N7" s="32"/>
      <c r="O7" s="32"/>
      <c r="P7" s="32"/>
    </row>
    <row r="8" customFormat="false" ht="15" hidden="false" customHeight="false" outlineLevel="0" collapsed="false">
      <c r="A8" s="32"/>
      <c r="B8" s="32"/>
      <c r="C8" s="32"/>
      <c r="D8" s="44"/>
      <c r="E8" s="32"/>
      <c r="F8" s="32"/>
      <c r="G8" s="32"/>
      <c r="H8" s="32"/>
      <c r="I8" s="32"/>
      <c r="J8" s="32"/>
      <c r="K8" s="32"/>
      <c r="L8" s="44"/>
      <c r="M8" s="32"/>
      <c r="N8" s="32"/>
      <c r="O8" s="32"/>
      <c r="P8" s="32"/>
    </row>
    <row r="9" customFormat="false" ht="15" hidden="false" customHeight="false" outlineLevel="0" collapsed="false">
      <c r="A9" s="32"/>
      <c r="B9" s="32"/>
      <c r="C9" s="32"/>
      <c r="D9" s="44"/>
      <c r="E9" s="32"/>
      <c r="F9" s="32"/>
      <c r="G9" s="32"/>
      <c r="H9" s="32"/>
      <c r="I9" s="32"/>
      <c r="J9" s="32"/>
      <c r="K9" s="32"/>
      <c r="L9" s="44"/>
      <c r="M9" s="32"/>
      <c r="N9" s="32"/>
      <c r="O9" s="32"/>
      <c r="P9" s="32"/>
    </row>
    <row r="10" customFormat="false" ht="15" hidden="false" customHeight="false" outlineLevel="0" collapsed="false">
      <c r="A10" s="32"/>
      <c r="B10" s="32"/>
      <c r="C10" s="32"/>
      <c r="D10" s="44"/>
      <c r="E10" s="32"/>
      <c r="F10" s="32"/>
      <c r="G10" s="32"/>
      <c r="H10" s="32"/>
      <c r="I10" s="32"/>
      <c r="J10" s="32"/>
      <c r="K10" s="32"/>
      <c r="L10" s="44"/>
      <c r="M10" s="32"/>
      <c r="N10" s="32"/>
      <c r="O10" s="32"/>
      <c r="P10" s="32"/>
    </row>
    <row r="11" customFormat="false" ht="15" hidden="false" customHeight="false" outlineLevel="0" collapsed="false">
      <c r="A11" s="32"/>
      <c r="B11" s="32"/>
      <c r="C11" s="32"/>
      <c r="D11" s="44"/>
      <c r="E11" s="32"/>
      <c r="F11" s="32"/>
      <c r="G11" s="32"/>
      <c r="H11" s="32"/>
      <c r="I11" s="32"/>
      <c r="J11" s="32"/>
      <c r="K11" s="32"/>
      <c r="L11" s="44"/>
      <c r="M11" s="32"/>
      <c r="N11" s="32"/>
      <c r="O11" s="32"/>
      <c r="P11" s="32"/>
    </row>
    <row r="12" customFormat="false" ht="15" hidden="false" customHeight="false" outlineLevel="0" collapsed="false">
      <c r="A12" s="32"/>
      <c r="B12" s="32"/>
      <c r="C12" s="32"/>
      <c r="D12" s="44"/>
      <c r="E12" s="32"/>
      <c r="F12" s="32"/>
      <c r="G12" s="32"/>
      <c r="H12" s="32"/>
      <c r="I12" s="32"/>
      <c r="J12" s="32"/>
      <c r="K12" s="32"/>
      <c r="L12" s="44"/>
      <c r="M12" s="32"/>
      <c r="N12" s="32"/>
      <c r="O12" s="32"/>
      <c r="P12" s="32"/>
    </row>
    <row r="13" customFormat="false" ht="15" hidden="false" customHeight="false" outlineLevel="0" collapsed="false">
      <c r="A13" s="32"/>
      <c r="B13" s="32"/>
      <c r="C13" s="32"/>
      <c r="D13" s="44"/>
      <c r="E13" s="32"/>
      <c r="F13" s="32"/>
      <c r="G13" s="32"/>
      <c r="H13" s="32"/>
      <c r="I13" s="32"/>
      <c r="J13" s="32"/>
      <c r="K13" s="32"/>
      <c r="L13" s="44"/>
      <c r="M13" s="32"/>
      <c r="N13" s="32"/>
      <c r="O13" s="32"/>
      <c r="P13" s="32"/>
    </row>
    <row r="14" customFormat="false" ht="15" hidden="false" customHeight="false" outlineLevel="0" collapsed="false">
      <c r="A14" s="32"/>
      <c r="B14" s="32"/>
      <c r="C14" s="32"/>
      <c r="D14" s="44"/>
      <c r="E14" s="32"/>
      <c r="F14" s="32"/>
      <c r="G14" s="32"/>
      <c r="H14" s="32"/>
      <c r="I14" s="32"/>
      <c r="J14" s="32"/>
      <c r="K14" s="32"/>
      <c r="L14" s="44"/>
      <c r="M14" s="32"/>
      <c r="N14" s="32"/>
      <c r="O14" s="32"/>
      <c r="P14" s="32"/>
    </row>
    <row r="15" customFormat="false" ht="15" hidden="false" customHeight="false" outlineLevel="0" collapsed="false">
      <c r="A15" s="32"/>
      <c r="B15" s="32"/>
      <c r="C15" s="32"/>
      <c r="D15" s="44"/>
      <c r="E15" s="32"/>
      <c r="F15" s="32"/>
      <c r="G15" s="32"/>
      <c r="H15" s="32"/>
      <c r="I15" s="32"/>
      <c r="J15" s="32"/>
      <c r="K15" s="32"/>
      <c r="L15" s="44"/>
      <c r="M15" s="32"/>
      <c r="N15" s="32"/>
      <c r="O15" s="32"/>
      <c r="P15" s="32"/>
    </row>
    <row r="16" customFormat="false" ht="15" hidden="false" customHeight="false" outlineLevel="0" collapsed="false">
      <c r="A16" s="32"/>
      <c r="B16" s="32"/>
      <c r="C16" s="32"/>
      <c r="D16" s="44"/>
      <c r="E16" s="32"/>
      <c r="F16" s="32"/>
      <c r="G16" s="32"/>
      <c r="H16" s="32"/>
      <c r="I16" s="32"/>
      <c r="J16" s="32"/>
      <c r="K16" s="32"/>
      <c r="L16" s="44"/>
      <c r="M16" s="32"/>
      <c r="N16" s="32"/>
      <c r="O16" s="32"/>
      <c r="P16" s="32"/>
    </row>
    <row r="17" customFormat="false" ht="15" hidden="false" customHeight="false" outlineLevel="0" collapsed="false">
      <c r="A17" s="32"/>
      <c r="B17" s="32"/>
      <c r="C17" s="32"/>
      <c r="D17" s="44"/>
      <c r="E17" s="32"/>
      <c r="F17" s="32"/>
      <c r="G17" s="32"/>
      <c r="H17" s="32"/>
      <c r="I17" s="32"/>
      <c r="J17" s="32"/>
      <c r="K17" s="32"/>
      <c r="L17" s="44"/>
      <c r="M17" s="32"/>
      <c r="N17" s="32"/>
      <c r="O17" s="32"/>
      <c r="P17" s="32"/>
    </row>
    <row r="18" customFormat="false" ht="15" hidden="false" customHeight="false" outlineLevel="0" collapsed="false">
      <c r="A18" s="32"/>
      <c r="B18" s="32"/>
      <c r="C18" s="32"/>
      <c r="D18" s="44"/>
      <c r="E18" s="32"/>
      <c r="F18" s="32"/>
      <c r="G18" s="32"/>
      <c r="H18" s="32"/>
      <c r="I18" s="32"/>
      <c r="J18" s="32"/>
      <c r="K18" s="32"/>
      <c r="L18" s="44"/>
      <c r="M18" s="32"/>
      <c r="N18" s="32"/>
      <c r="O18" s="32"/>
      <c r="P18" s="32"/>
    </row>
    <row r="19" customFormat="false" ht="15" hidden="false" customHeight="false" outlineLevel="0" collapsed="false">
      <c r="A19" s="32"/>
      <c r="B19" s="32"/>
      <c r="C19" s="32"/>
      <c r="D19" s="44"/>
      <c r="E19" s="32"/>
      <c r="F19" s="32"/>
      <c r="G19" s="32"/>
      <c r="H19" s="32"/>
      <c r="I19" s="32"/>
      <c r="J19" s="32"/>
      <c r="K19" s="32"/>
      <c r="L19" s="44"/>
      <c r="M19" s="32"/>
      <c r="N19" s="32"/>
      <c r="O19" s="32"/>
      <c r="P19" s="32"/>
    </row>
    <row r="20" customFormat="false" ht="15" hidden="false" customHeight="false" outlineLevel="0" collapsed="false">
      <c r="A20" s="32"/>
      <c r="B20" s="32"/>
      <c r="C20" s="32"/>
      <c r="D20" s="44"/>
      <c r="E20" s="32"/>
      <c r="F20" s="32"/>
      <c r="G20" s="32"/>
      <c r="H20" s="32"/>
      <c r="I20" s="32"/>
      <c r="J20" s="32"/>
      <c r="K20" s="32"/>
      <c r="L20" s="44"/>
      <c r="M20" s="32"/>
      <c r="N20" s="32"/>
      <c r="O20" s="32"/>
      <c r="P20" s="32"/>
    </row>
    <row r="21" customFormat="false" ht="15" hidden="false" customHeight="false" outlineLevel="0" collapsed="false">
      <c r="A21" s="32"/>
      <c r="B21" s="32"/>
      <c r="C21" s="32"/>
      <c r="D21" s="44"/>
      <c r="E21" s="32"/>
      <c r="F21" s="32"/>
      <c r="G21" s="32"/>
      <c r="H21" s="32"/>
      <c r="I21" s="32"/>
      <c r="J21" s="32"/>
      <c r="K21" s="32"/>
      <c r="L21" s="44"/>
      <c r="M21" s="32"/>
      <c r="N21" s="32"/>
      <c r="O21" s="32"/>
      <c r="P21" s="32"/>
    </row>
    <row r="22" customFormat="false" ht="15" hidden="false" customHeight="false" outlineLevel="0" collapsed="false">
      <c r="A22" s="32"/>
      <c r="B22" s="32"/>
      <c r="C22" s="32"/>
      <c r="D22" s="44"/>
      <c r="E22" s="32"/>
      <c r="F22" s="32"/>
      <c r="G22" s="32"/>
      <c r="H22" s="32"/>
      <c r="I22" s="32"/>
      <c r="J22" s="32"/>
      <c r="K22" s="32"/>
      <c r="L22" s="44"/>
      <c r="M22" s="32"/>
      <c r="N22" s="32"/>
      <c r="O22" s="32"/>
      <c r="P22" s="32"/>
    </row>
    <row r="23" customFormat="false" ht="15" hidden="false" customHeight="false" outlineLevel="0" collapsed="false">
      <c r="A23" s="32"/>
      <c r="B23" s="32"/>
      <c r="C23" s="32"/>
      <c r="D23" s="44"/>
      <c r="E23" s="32"/>
      <c r="F23" s="32"/>
      <c r="G23" s="32"/>
      <c r="H23" s="32"/>
      <c r="I23" s="32"/>
      <c r="J23" s="32"/>
      <c r="K23" s="32"/>
      <c r="L23" s="44"/>
      <c r="M23" s="32"/>
      <c r="N23" s="32"/>
      <c r="O23" s="32"/>
      <c r="P23" s="32"/>
    </row>
    <row r="24" customFormat="false" ht="15" hidden="false" customHeight="false" outlineLevel="0" collapsed="false">
      <c r="A24" s="32"/>
      <c r="B24" s="32"/>
      <c r="C24" s="32"/>
      <c r="D24" s="44"/>
      <c r="E24" s="32"/>
      <c r="F24" s="32"/>
      <c r="G24" s="32"/>
      <c r="H24" s="32"/>
      <c r="I24" s="32"/>
      <c r="J24" s="32"/>
      <c r="K24" s="32"/>
      <c r="L24" s="44"/>
      <c r="M24" s="32"/>
      <c r="N24" s="32"/>
      <c r="O24" s="32"/>
      <c r="P24" s="32"/>
    </row>
    <row r="25" customFormat="false" ht="15" hidden="false" customHeight="false" outlineLevel="0" collapsed="false">
      <c r="A25" s="32"/>
      <c r="B25" s="32"/>
      <c r="C25" s="32"/>
      <c r="D25" s="44"/>
      <c r="E25" s="32"/>
      <c r="F25" s="32"/>
      <c r="G25" s="32"/>
      <c r="H25" s="32"/>
      <c r="I25" s="32"/>
      <c r="J25" s="32"/>
      <c r="K25" s="32"/>
      <c r="L25" s="44"/>
      <c r="M25" s="32"/>
      <c r="N25" s="32"/>
      <c r="O25" s="32"/>
      <c r="P25" s="32"/>
    </row>
    <row r="26" customFormat="false" ht="15" hidden="false" customHeight="false" outlineLevel="0" collapsed="false">
      <c r="A26" s="32"/>
      <c r="B26" s="32"/>
      <c r="C26" s="32"/>
      <c r="D26" s="44"/>
      <c r="E26" s="32"/>
      <c r="F26" s="32"/>
      <c r="G26" s="32"/>
      <c r="H26" s="32"/>
      <c r="I26" s="32"/>
      <c r="J26" s="32"/>
      <c r="K26" s="32"/>
      <c r="L26" s="44"/>
      <c r="M26" s="32"/>
      <c r="N26" s="32"/>
      <c r="O26" s="32"/>
      <c r="P26" s="32"/>
    </row>
    <row r="27" customFormat="false" ht="15" hidden="false" customHeight="false" outlineLevel="0" collapsed="false">
      <c r="A27" s="32"/>
      <c r="B27" s="32"/>
      <c r="C27" s="32"/>
      <c r="D27" s="44"/>
      <c r="E27" s="32"/>
      <c r="F27" s="32"/>
      <c r="G27" s="32"/>
      <c r="H27" s="32"/>
      <c r="I27" s="32"/>
      <c r="J27" s="32"/>
      <c r="K27" s="32"/>
      <c r="L27" s="44"/>
      <c r="M27" s="32"/>
      <c r="N27" s="32"/>
      <c r="O27" s="32"/>
      <c r="P27" s="32"/>
    </row>
    <row r="28" customFormat="false" ht="15" hidden="false" customHeight="false" outlineLevel="0" collapsed="false">
      <c r="A28" s="32"/>
      <c r="B28" s="32"/>
      <c r="C28" s="32"/>
      <c r="D28" s="44"/>
      <c r="E28" s="32"/>
      <c r="F28" s="32"/>
      <c r="G28" s="32"/>
      <c r="H28" s="32"/>
      <c r="I28" s="32"/>
      <c r="J28" s="32"/>
      <c r="K28" s="32"/>
      <c r="L28" s="44"/>
      <c r="M28" s="32"/>
      <c r="N28" s="32"/>
      <c r="O28" s="32"/>
      <c r="P28" s="32"/>
    </row>
    <row r="29" customFormat="false" ht="15" hidden="false" customHeight="false" outlineLevel="0" collapsed="false">
      <c r="A29" s="32"/>
      <c r="B29" s="32"/>
      <c r="C29" s="32"/>
      <c r="D29" s="44"/>
      <c r="E29" s="32"/>
      <c r="F29" s="32"/>
      <c r="G29" s="32"/>
      <c r="H29" s="32"/>
      <c r="I29" s="32"/>
      <c r="J29" s="32"/>
      <c r="K29" s="32"/>
      <c r="L29" s="44"/>
      <c r="M29" s="32"/>
      <c r="N29" s="32"/>
      <c r="O29" s="32"/>
      <c r="P29" s="32"/>
    </row>
    <row r="30" customFormat="false" ht="15" hidden="false" customHeight="false" outlineLevel="0" collapsed="false">
      <c r="A30" s="32"/>
      <c r="B30" s="32"/>
      <c r="C30" s="32"/>
      <c r="D30" s="44"/>
      <c r="E30" s="32"/>
      <c r="F30" s="32"/>
      <c r="G30" s="32"/>
      <c r="H30" s="32"/>
      <c r="I30" s="32"/>
      <c r="J30" s="32"/>
      <c r="K30" s="32"/>
      <c r="L30" s="44"/>
      <c r="M30" s="32"/>
      <c r="N30" s="32"/>
      <c r="O30" s="32"/>
      <c r="P30" s="32"/>
    </row>
    <row r="31" customFormat="false" ht="15" hidden="false" customHeight="false" outlineLevel="0" collapsed="false">
      <c r="A31" s="32"/>
      <c r="B31" s="32"/>
      <c r="C31" s="32"/>
      <c r="D31" s="44"/>
      <c r="E31" s="32"/>
      <c r="F31" s="32"/>
      <c r="G31" s="32"/>
      <c r="H31" s="32"/>
      <c r="I31" s="32"/>
      <c r="J31" s="32"/>
      <c r="K31" s="32"/>
      <c r="L31" s="44"/>
      <c r="M31" s="32"/>
      <c r="N31" s="32"/>
      <c r="O31" s="32"/>
      <c r="P31" s="32"/>
    </row>
    <row r="32" customFormat="false" ht="15" hidden="false" customHeight="false" outlineLevel="0" collapsed="false">
      <c r="A32" s="32"/>
      <c r="B32" s="32"/>
      <c r="C32" s="32"/>
      <c r="D32" s="44"/>
      <c r="E32" s="32"/>
      <c r="F32" s="32"/>
      <c r="G32" s="32"/>
      <c r="H32" s="32"/>
      <c r="I32" s="32"/>
      <c r="J32" s="32"/>
      <c r="K32" s="32"/>
      <c r="L32" s="44"/>
      <c r="M32" s="32"/>
      <c r="N32" s="32"/>
      <c r="O32" s="32"/>
      <c r="P32" s="32"/>
    </row>
    <row r="33" customFormat="false" ht="15" hidden="false" customHeight="false" outlineLevel="0" collapsed="false">
      <c r="A33" s="32"/>
      <c r="B33" s="32"/>
      <c r="C33" s="32"/>
      <c r="D33" s="44"/>
      <c r="E33" s="32"/>
      <c r="F33" s="32"/>
      <c r="G33" s="32"/>
      <c r="H33" s="32"/>
      <c r="I33" s="32"/>
      <c r="J33" s="32"/>
      <c r="K33" s="32"/>
      <c r="L33" s="44"/>
      <c r="M33" s="32"/>
      <c r="N33" s="32"/>
      <c r="O33" s="32"/>
      <c r="P33" s="32"/>
    </row>
    <row r="34" customFormat="false" ht="15" hidden="false" customHeight="false" outlineLevel="0" collapsed="false">
      <c r="A34" s="32"/>
      <c r="B34" s="32"/>
      <c r="C34" s="32"/>
      <c r="D34" s="44"/>
      <c r="E34" s="32"/>
      <c r="F34" s="32"/>
      <c r="G34" s="32"/>
      <c r="H34" s="32"/>
      <c r="I34" s="32"/>
      <c r="J34" s="32"/>
      <c r="K34" s="32"/>
      <c r="L34" s="44"/>
      <c r="M34" s="32"/>
      <c r="N34" s="32"/>
      <c r="O34" s="32"/>
      <c r="P34" s="32"/>
    </row>
    <row r="35" customFormat="false" ht="15" hidden="false" customHeight="false" outlineLevel="0" collapsed="false">
      <c r="A35" s="32"/>
      <c r="B35" s="32"/>
      <c r="C35" s="32"/>
      <c r="D35" s="44"/>
      <c r="E35" s="32"/>
      <c r="F35" s="32"/>
      <c r="G35" s="32"/>
      <c r="H35" s="32"/>
      <c r="I35" s="32"/>
      <c r="J35" s="32"/>
      <c r="K35" s="32"/>
      <c r="L35" s="44"/>
      <c r="M35" s="32"/>
      <c r="N35" s="32"/>
      <c r="O35" s="32"/>
      <c r="P35" s="32"/>
    </row>
    <row r="36" customFormat="false" ht="15" hidden="false" customHeight="false" outlineLevel="0" collapsed="false">
      <c r="A36" s="32"/>
      <c r="B36" s="32"/>
      <c r="C36" s="32"/>
      <c r="D36" s="44"/>
      <c r="E36" s="32"/>
      <c r="F36" s="32"/>
      <c r="G36" s="32"/>
      <c r="H36" s="32"/>
      <c r="I36" s="32"/>
      <c r="J36" s="32"/>
      <c r="K36" s="32"/>
      <c r="L36" s="44"/>
      <c r="M36" s="32"/>
      <c r="N36" s="32"/>
      <c r="O36" s="32"/>
      <c r="P36" s="32"/>
    </row>
    <row r="37" customFormat="false" ht="15" hidden="false" customHeight="false" outlineLevel="0" collapsed="false">
      <c r="A37" s="32"/>
      <c r="B37" s="32"/>
      <c r="C37" s="32"/>
      <c r="D37" s="44"/>
      <c r="E37" s="32"/>
      <c r="F37" s="32"/>
      <c r="G37" s="32"/>
      <c r="H37" s="32"/>
      <c r="I37" s="32"/>
      <c r="J37" s="32"/>
      <c r="K37" s="32"/>
      <c r="L37" s="44"/>
      <c r="M37" s="32"/>
      <c r="N37" s="32"/>
      <c r="O37" s="32"/>
      <c r="P37" s="32"/>
    </row>
    <row r="38" customFormat="false" ht="15" hidden="false" customHeight="false" outlineLevel="0" collapsed="false">
      <c r="A38" s="32"/>
      <c r="B38" s="32"/>
      <c r="C38" s="32"/>
      <c r="D38" s="44"/>
      <c r="E38" s="32"/>
      <c r="F38" s="32"/>
      <c r="G38" s="32"/>
      <c r="H38" s="32"/>
      <c r="I38" s="32"/>
      <c r="J38" s="32"/>
      <c r="K38" s="32"/>
      <c r="L38" s="44"/>
      <c r="M38" s="32"/>
      <c r="N38" s="32"/>
      <c r="O38" s="32"/>
      <c r="P38" s="32"/>
    </row>
    <row r="39" customFormat="false" ht="15" hidden="false" customHeight="false" outlineLevel="0" collapsed="false">
      <c r="A39" s="32"/>
      <c r="B39" s="32"/>
      <c r="C39" s="32"/>
      <c r="D39" s="44"/>
      <c r="E39" s="32"/>
      <c r="F39" s="32"/>
      <c r="G39" s="32"/>
      <c r="H39" s="32"/>
      <c r="I39" s="32"/>
      <c r="J39" s="32"/>
      <c r="K39" s="32"/>
      <c r="L39" s="44"/>
      <c r="M39" s="32"/>
      <c r="N39" s="32"/>
      <c r="O39" s="32"/>
      <c r="P39" s="32"/>
    </row>
    <row r="40" customFormat="false" ht="15" hidden="false" customHeight="false" outlineLevel="0" collapsed="false">
      <c r="A40" s="32"/>
      <c r="B40" s="32"/>
      <c r="C40" s="32"/>
      <c r="D40" s="44"/>
      <c r="E40" s="32"/>
      <c r="F40" s="32"/>
      <c r="G40" s="32"/>
      <c r="H40" s="32"/>
      <c r="I40" s="32"/>
      <c r="J40" s="32"/>
      <c r="K40" s="32"/>
      <c r="L40" s="44"/>
      <c r="M40" s="32"/>
      <c r="N40" s="32"/>
      <c r="O40" s="32"/>
      <c r="P40" s="32"/>
    </row>
    <row r="41" customFormat="false" ht="15" hidden="false" customHeight="false" outlineLevel="0" collapsed="false">
      <c r="A41" s="32"/>
      <c r="B41" s="32"/>
      <c r="C41" s="32"/>
      <c r="D41" s="44"/>
      <c r="E41" s="32"/>
      <c r="F41" s="32"/>
      <c r="G41" s="32"/>
      <c r="H41" s="32"/>
      <c r="I41" s="32"/>
      <c r="J41" s="32"/>
      <c r="K41" s="32"/>
      <c r="L41" s="44"/>
      <c r="M41" s="32"/>
      <c r="N41" s="32"/>
      <c r="O41" s="32"/>
      <c r="P41" s="32"/>
    </row>
    <row r="42" customFormat="false" ht="15" hidden="false" customHeight="false" outlineLevel="0" collapsed="false">
      <c r="A42" s="32"/>
      <c r="B42" s="32"/>
      <c r="C42" s="32"/>
      <c r="D42" s="44"/>
      <c r="E42" s="32"/>
      <c r="F42" s="32"/>
      <c r="G42" s="32"/>
      <c r="H42" s="32"/>
      <c r="I42" s="32"/>
      <c r="J42" s="32"/>
      <c r="K42" s="32"/>
      <c r="L42" s="44"/>
      <c r="M42" s="32"/>
      <c r="N42" s="32"/>
      <c r="O42" s="32"/>
      <c r="P42" s="32"/>
    </row>
    <row r="43" customFormat="false" ht="15" hidden="false" customHeight="false" outlineLevel="0" collapsed="false">
      <c r="A43" s="32"/>
      <c r="B43" s="32"/>
      <c r="C43" s="32"/>
      <c r="D43" s="44"/>
      <c r="E43" s="32"/>
      <c r="F43" s="32"/>
      <c r="G43" s="32"/>
      <c r="H43" s="32"/>
      <c r="I43" s="32"/>
      <c r="J43" s="32"/>
      <c r="K43" s="32"/>
      <c r="L43" s="44"/>
      <c r="M43" s="32"/>
      <c r="N43" s="32"/>
      <c r="O43" s="32"/>
      <c r="P43" s="32"/>
    </row>
    <row r="44" customFormat="false" ht="15" hidden="false" customHeight="false" outlineLevel="0" collapsed="false">
      <c r="A44" s="32"/>
      <c r="B44" s="32"/>
      <c r="C44" s="32"/>
      <c r="D44" s="44"/>
      <c r="E44" s="32"/>
      <c r="F44" s="32"/>
      <c r="G44" s="32"/>
      <c r="H44" s="32"/>
      <c r="I44" s="32"/>
      <c r="J44" s="32"/>
      <c r="K44" s="32"/>
      <c r="L44" s="44"/>
      <c r="M44" s="32"/>
      <c r="N44" s="32"/>
      <c r="O44" s="32"/>
      <c r="P44" s="32"/>
    </row>
    <row r="45" customFormat="false" ht="15" hidden="false" customHeight="false" outlineLevel="0" collapsed="false">
      <c r="A45" s="32"/>
      <c r="B45" s="32"/>
      <c r="C45" s="32"/>
      <c r="D45" s="44"/>
      <c r="E45" s="32"/>
      <c r="F45" s="32"/>
      <c r="G45" s="32"/>
      <c r="H45" s="32"/>
      <c r="I45" s="32"/>
      <c r="J45" s="32"/>
      <c r="K45" s="32"/>
      <c r="L45" s="44"/>
      <c r="M45" s="32"/>
      <c r="N45" s="32"/>
      <c r="O45" s="32"/>
      <c r="P45" s="32"/>
    </row>
    <row r="46" customFormat="false" ht="15" hidden="false" customHeight="false" outlineLevel="0" collapsed="false">
      <c r="A46" s="32"/>
      <c r="B46" s="32"/>
      <c r="C46" s="32"/>
      <c r="D46" s="44"/>
      <c r="E46" s="32"/>
      <c r="F46" s="32"/>
      <c r="G46" s="32"/>
      <c r="H46" s="32"/>
      <c r="I46" s="32"/>
      <c r="J46" s="32"/>
      <c r="K46" s="32"/>
      <c r="L46" s="44"/>
      <c r="M46" s="32"/>
      <c r="N46" s="32"/>
      <c r="O46" s="32"/>
      <c r="P46" s="32"/>
    </row>
    <row r="47" customFormat="false" ht="15" hidden="false" customHeight="false" outlineLevel="0" collapsed="false">
      <c r="A47" s="32"/>
      <c r="B47" s="32"/>
      <c r="C47" s="32"/>
      <c r="D47" s="44"/>
      <c r="E47" s="32"/>
      <c r="F47" s="32"/>
      <c r="G47" s="32"/>
      <c r="H47" s="32"/>
      <c r="I47" s="32"/>
      <c r="J47" s="32"/>
      <c r="K47" s="32"/>
      <c r="L47" s="44"/>
      <c r="M47" s="32"/>
      <c r="N47" s="32"/>
      <c r="O47" s="32"/>
      <c r="P47" s="32"/>
    </row>
    <row r="48" customFormat="false" ht="15" hidden="false" customHeight="false" outlineLevel="0" collapsed="false">
      <c r="A48" s="32"/>
      <c r="B48" s="32"/>
      <c r="C48" s="32"/>
      <c r="D48" s="44"/>
      <c r="E48" s="32"/>
      <c r="F48" s="32"/>
      <c r="G48" s="32"/>
      <c r="H48" s="32"/>
      <c r="I48" s="32"/>
      <c r="J48" s="32"/>
      <c r="K48" s="32"/>
      <c r="L48" s="44"/>
      <c r="M48" s="32"/>
      <c r="N48" s="32"/>
      <c r="O48" s="32"/>
      <c r="P48" s="32"/>
    </row>
    <row r="49" customFormat="false" ht="15" hidden="false" customHeight="false" outlineLevel="0" collapsed="false">
      <c r="A49" s="32"/>
      <c r="B49" s="32"/>
      <c r="C49" s="32"/>
      <c r="D49" s="44"/>
      <c r="E49" s="32"/>
      <c r="F49" s="32"/>
      <c r="G49" s="32"/>
      <c r="H49" s="32"/>
      <c r="I49" s="32"/>
      <c r="J49" s="32"/>
      <c r="K49" s="32"/>
      <c r="L49" s="44"/>
      <c r="M49" s="32"/>
      <c r="N49" s="32"/>
      <c r="O49" s="32"/>
      <c r="P49" s="32"/>
    </row>
    <row r="50" customFormat="false" ht="15" hidden="false" customHeight="false" outlineLevel="0" collapsed="false">
      <c r="A50" s="32"/>
      <c r="B50" s="32"/>
      <c r="C50" s="32"/>
      <c r="D50" s="44"/>
      <c r="E50" s="32"/>
      <c r="F50" s="32"/>
      <c r="G50" s="32"/>
      <c r="H50" s="32"/>
      <c r="I50" s="32"/>
      <c r="J50" s="32"/>
      <c r="K50" s="32"/>
      <c r="L50" s="44"/>
      <c r="M50" s="32"/>
      <c r="N50" s="32"/>
      <c r="O50" s="32"/>
      <c r="P50" s="32"/>
    </row>
    <row r="51" customFormat="false" ht="15" hidden="false" customHeight="false" outlineLevel="0" collapsed="false">
      <c r="A51" s="32"/>
      <c r="B51" s="32"/>
      <c r="C51" s="32"/>
      <c r="D51" s="44"/>
      <c r="E51" s="32"/>
      <c r="F51" s="32"/>
      <c r="G51" s="32"/>
      <c r="H51" s="32"/>
      <c r="I51" s="32"/>
      <c r="J51" s="32"/>
      <c r="K51" s="32"/>
      <c r="L51" s="44"/>
      <c r="M51" s="32"/>
      <c r="N51" s="32"/>
      <c r="O51" s="32"/>
      <c r="P51" s="32"/>
    </row>
    <row r="52" customFormat="false" ht="15" hidden="false" customHeight="false" outlineLevel="0" collapsed="false">
      <c r="A52" s="32"/>
      <c r="B52" s="32"/>
      <c r="C52" s="32"/>
      <c r="D52" s="44"/>
      <c r="E52" s="32"/>
      <c r="F52" s="32"/>
      <c r="G52" s="32"/>
      <c r="H52" s="32"/>
      <c r="I52" s="32"/>
      <c r="J52" s="32"/>
      <c r="K52" s="32"/>
      <c r="L52" s="44"/>
      <c r="M52" s="32"/>
      <c r="N52" s="32"/>
      <c r="O52" s="32"/>
      <c r="P52" s="32"/>
    </row>
    <row r="53" customFormat="false" ht="15" hidden="false" customHeight="false" outlineLevel="0" collapsed="false">
      <c r="A53" s="32"/>
      <c r="B53" s="32"/>
      <c r="C53" s="32"/>
      <c r="D53" s="44"/>
      <c r="E53" s="32"/>
      <c r="F53" s="32"/>
      <c r="G53" s="32"/>
      <c r="H53" s="32"/>
      <c r="I53" s="32"/>
      <c r="J53" s="32"/>
      <c r="K53" s="32"/>
      <c r="L53" s="44"/>
      <c r="M53" s="32"/>
      <c r="N53" s="32"/>
      <c r="O53" s="32"/>
      <c r="P53" s="32"/>
    </row>
    <row r="54" customFormat="false" ht="15" hidden="false" customHeight="false" outlineLevel="0" collapsed="false">
      <c r="A54" s="32"/>
      <c r="B54" s="32"/>
      <c r="C54" s="32"/>
      <c r="D54" s="44"/>
      <c r="E54" s="32"/>
      <c r="F54" s="32"/>
      <c r="G54" s="32"/>
      <c r="H54" s="32"/>
      <c r="I54" s="32"/>
      <c r="J54" s="32"/>
      <c r="K54" s="32"/>
      <c r="L54" s="44"/>
      <c r="M54" s="32"/>
      <c r="N54" s="32"/>
      <c r="O54" s="32"/>
      <c r="P54" s="32"/>
    </row>
    <row r="55" customFormat="false" ht="15" hidden="false" customHeight="false" outlineLevel="0" collapsed="false">
      <c r="A55" s="32"/>
      <c r="B55" s="32"/>
      <c r="C55" s="32"/>
      <c r="D55" s="44"/>
      <c r="E55" s="32"/>
      <c r="F55" s="32"/>
      <c r="G55" s="32"/>
      <c r="H55" s="32"/>
      <c r="I55" s="32"/>
      <c r="J55" s="32"/>
      <c r="K55" s="32"/>
      <c r="L55" s="44"/>
      <c r="M55" s="32"/>
      <c r="N55" s="32"/>
      <c r="O55" s="32"/>
      <c r="P55" s="32"/>
    </row>
    <row r="56" customFormat="false" ht="15" hidden="false" customHeight="false" outlineLevel="0" collapsed="false">
      <c r="A56" s="32"/>
      <c r="B56" s="32"/>
      <c r="C56" s="32"/>
      <c r="D56" s="44"/>
      <c r="E56" s="32"/>
      <c r="F56" s="32"/>
      <c r="G56" s="32"/>
      <c r="H56" s="32"/>
      <c r="I56" s="32"/>
      <c r="J56" s="32"/>
      <c r="K56" s="32"/>
      <c r="L56" s="44"/>
      <c r="M56" s="32"/>
      <c r="N56" s="32"/>
      <c r="O56" s="32"/>
      <c r="P56" s="32"/>
    </row>
    <row r="57" customFormat="false" ht="15" hidden="false" customHeight="false" outlineLevel="0" collapsed="false">
      <c r="A57" s="32"/>
      <c r="B57" s="32"/>
      <c r="C57" s="32"/>
      <c r="D57" s="44"/>
      <c r="E57" s="32"/>
      <c r="F57" s="32"/>
      <c r="G57" s="32"/>
      <c r="H57" s="32"/>
      <c r="I57" s="32"/>
      <c r="J57" s="32"/>
      <c r="K57" s="32"/>
      <c r="L57" s="44"/>
      <c r="M57" s="32"/>
      <c r="N57" s="32"/>
      <c r="O57" s="32"/>
      <c r="P57" s="32"/>
    </row>
    <row r="58" customFormat="false" ht="15" hidden="false" customHeight="false" outlineLevel="0" collapsed="false">
      <c r="A58" s="32"/>
      <c r="B58" s="32"/>
      <c r="C58" s="32"/>
      <c r="D58" s="44"/>
      <c r="E58" s="32"/>
      <c r="F58" s="32"/>
      <c r="G58" s="32"/>
      <c r="H58" s="32"/>
      <c r="I58" s="32"/>
      <c r="J58" s="32"/>
      <c r="K58" s="32"/>
      <c r="L58" s="44"/>
      <c r="M58" s="32"/>
      <c r="N58" s="32"/>
      <c r="O58" s="32"/>
      <c r="P58" s="32"/>
    </row>
    <row r="59" customFormat="false" ht="15" hidden="false" customHeight="false" outlineLevel="0" collapsed="false">
      <c r="A59" s="32"/>
      <c r="B59" s="32"/>
      <c r="C59" s="32"/>
      <c r="D59" s="44"/>
      <c r="E59" s="32"/>
      <c r="F59" s="32"/>
      <c r="G59" s="32"/>
      <c r="H59" s="32"/>
      <c r="I59" s="32"/>
      <c r="J59" s="32"/>
      <c r="K59" s="32"/>
      <c r="L59" s="44"/>
      <c r="M59" s="32"/>
      <c r="N59" s="32"/>
      <c r="O59" s="32"/>
      <c r="P59" s="32"/>
    </row>
    <row r="60" customFormat="false" ht="15" hidden="false" customHeight="false" outlineLevel="0" collapsed="false">
      <c r="A60" s="32"/>
      <c r="B60" s="32"/>
      <c r="C60" s="32"/>
      <c r="D60" s="44"/>
      <c r="E60" s="32"/>
      <c r="F60" s="32"/>
      <c r="G60" s="32"/>
      <c r="H60" s="32"/>
      <c r="I60" s="32"/>
      <c r="J60" s="32"/>
      <c r="K60" s="32"/>
      <c r="L60" s="44"/>
      <c r="M60" s="32"/>
      <c r="N60" s="32"/>
      <c r="O60" s="32"/>
      <c r="P60" s="32"/>
    </row>
  </sheetData>
  <dataValidations count="3">
    <dataValidation allowBlank="true" errorStyle="stop" operator="between" showDropDown="false" showErrorMessage="false" showInputMessage="false" sqref="E5:E300 G5:J300" type="list">
      <formula1>"Chưa làm,Đang làm,Xong,Làm lại"</formula1>
      <formula2>0</formula2>
    </dataValidation>
    <dataValidation allowBlank="true" errorStyle="stop" operator="between" showDropDown="false" showErrorMessage="false" showInputMessage="false" sqref="F5:F300 K5:K300" type="list">
      <formula1>"Chưa duyệt,Đạt,Không đạt"</formula1>
      <formula2>0</formula2>
    </dataValidation>
    <dataValidation allowBlank="true" errorStyle="stop" operator="between" showDropDown="false" showErrorMessage="false" showInputMessage="false" sqref="C5:C300" type="list">
      <formula1>"Tiết kiệm,Tiêu chuẩn,Cao cấp"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1" min="6" style="0" width="14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407</v>
      </c>
    </row>
    <row r="2" customFormat="false" ht="15" hidden="false" customHeight="false" outlineLevel="0" collapsed="false">
      <c r="A2" s="2" t="s">
        <v>408</v>
      </c>
    </row>
    <row r="4" customFormat="false" ht="39.55" hidden="false" customHeight="false" outlineLevel="0" collapsed="false">
      <c r="A4" s="8" t="s">
        <v>409</v>
      </c>
      <c r="B4" s="8" t="s">
        <v>410</v>
      </c>
      <c r="C4" s="8" t="s">
        <v>411</v>
      </c>
      <c r="D4" s="8" t="s">
        <v>412</v>
      </c>
      <c r="E4" s="8" t="s">
        <v>413</v>
      </c>
      <c r="F4" s="8" t="s">
        <v>414</v>
      </c>
      <c r="G4" s="8" t="s">
        <v>415</v>
      </c>
      <c r="H4" s="8" t="s">
        <v>416</v>
      </c>
      <c r="I4" s="8" t="s">
        <v>417</v>
      </c>
      <c r="J4" s="8" t="s">
        <v>418</v>
      </c>
      <c r="K4" s="8" t="s">
        <v>419</v>
      </c>
      <c r="L4" s="8" t="s">
        <v>420</v>
      </c>
    </row>
    <row r="5" customFormat="false" ht="15" hidden="false" customHeight="false" outlineLevel="0" collapsed="false">
      <c r="A5" s="45" t="s">
        <v>421</v>
      </c>
      <c r="B5" s="38" t="n">
        <v>5</v>
      </c>
      <c r="C5" s="38" t="n">
        <v>28</v>
      </c>
      <c r="D5" s="38" t="n">
        <v>0.05</v>
      </c>
      <c r="E5" s="38" t="n">
        <v>0.4</v>
      </c>
      <c r="F5" s="38" t="n">
        <v>4000</v>
      </c>
      <c r="G5" s="38" t="n">
        <v>50000</v>
      </c>
      <c r="H5" s="38" t="n">
        <v>100</v>
      </c>
      <c r="I5" s="10" t="n">
        <v>4000</v>
      </c>
      <c r="J5" s="38" t="n">
        <v>0.1</v>
      </c>
      <c r="K5" s="38" t="n">
        <v>125</v>
      </c>
      <c r="L5" s="37" t="n">
        <v>2</v>
      </c>
    </row>
    <row r="6" customFormat="false" ht="15" hidden="false" customHeight="false" outlineLevel="0" collapsed="false">
      <c r="A6" s="32" t="s">
        <v>422</v>
      </c>
      <c r="B6" s="12" t="n">
        <v>3</v>
      </c>
      <c r="C6" s="12" t="n">
        <v>15</v>
      </c>
      <c r="D6" s="16" t="n">
        <v>0.042</v>
      </c>
      <c r="E6" s="16" t="n">
        <v>0.36</v>
      </c>
      <c r="F6" s="12" t="n">
        <v>1200</v>
      </c>
      <c r="G6" s="12" t="n">
        <v>8000</v>
      </c>
      <c r="H6" s="12" t="n">
        <v>35</v>
      </c>
      <c r="I6" s="26" t="n">
        <f aca="false">IF(F6="","",SUMPRODUCT($F$6:F6,$E$6:E6)*ThongSo!$B$6/3600)</f>
        <v>72</v>
      </c>
      <c r="J6" s="16" t="n">
        <v>0.33</v>
      </c>
      <c r="K6" s="17" t="n">
        <v>120</v>
      </c>
      <c r="L6" s="17" t="n">
        <f aca="false">IF(OR(K6="",F6+G6=0),"",K6/(F6+G6)*1000)</f>
        <v>13.0434782608696</v>
      </c>
    </row>
    <row r="7" customFormat="false" ht="15" hidden="false" customHeight="false" outlineLevel="0" collapsed="false">
      <c r="A7" s="21" t="s">
        <v>423</v>
      </c>
      <c r="B7" s="12"/>
      <c r="C7" s="12"/>
      <c r="D7" s="16"/>
      <c r="E7" s="16"/>
      <c r="F7" s="12"/>
      <c r="G7" s="12"/>
      <c r="H7" s="12"/>
      <c r="I7" s="26" t="str">
        <f aca="false">IF(F7="","",SUMPRODUCT($F$6:F7,$E$6:E7)*ThongSo!$B$6/3600)</f>
        <v/>
      </c>
      <c r="J7" s="16"/>
      <c r="K7" s="17"/>
      <c r="L7" s="17" t="str">
        <f aca="false">IF(OR(K7="",F7+G7=0),"",K7/(F7+G7)*1000)</f>
        <v/>
      </c>
    </row>
    <row r="8" customFormat="false" ht="15" hidden="false" customHeight="false" outlineLevel="0" collapsed="false">
      <c r="A8" s="21" t="s">
        <v>424</v>
      </c>
      <c r="B8" s="12"/>
      <c r="C8" s="12"/>
      <c r="D8" s="16"/>
      <c r="E8" s="16"/>
      <c r="F8" s="12"/>
      <c r="G8" s="12"/>
      <c r="H8" s="12"/>
      <c r="I8" s="26" t="str">
        <f aca="false">IF(F8="","",SUMPRODUCT($F$6:F8,$E$6:E8)*ThongSo!$B$6/3600)</f>
        <v/>
      </c>
      <c r="J8" s="16"/>
      <c r="K8" s="17"/>
      <c r="L8" s="17" t="str">
        <f aca="false">IF(OR(K8="",F8+G8=0),"",K8/(F8+G8)*1000)</f>
        <v/>
      </c>
    </row>
    <row r="9" customFormat="false" ht="15" hidden="false" customHeight="false" outlineLevel="0" collapsed="false">
      <c r="A9" s="21" t="s">
        <v>425</v>
      </c>
      <c r="B9" s="12"/>
      <c r="C9" s="12"/>
      <c r="D9" s="16"/>
      <c r="E9" s="16"/>
      <c r="F9" s="12"/>
      <c r="G9" s="12"/>
      <c r="H9" s="12"/>
      <c r="I9" s="26" t="str">
        <f aca="false">IF(F9="","",SUMPRODUCT($F$6:F9,$E$6:E9)*ThongSo!$B$6/3600)</f>
        <v/>
      </c>
      <c r="J9" s="16"/>
      <c r="K9" s="17"/>
      <c r="L9" s="17" t="str">
        <f aca="false">IF(OR(K9="",F9+G9=0),"",K9/(F9+G9)*1000)</f>
        <v/>
      </c>
    </row>
    <row r="10" customFormat="false" ht="15" hidden="false" customHeight="false" outlineLevel="0" collapsed="false">
      <c r="A10" s="21" t="s">
        <v>426</v>
      </c>
      <c r="B10" s="12"/>
      <c r="C10" s="12"/>
      <c r="D10" s="16"/>
      <c r="E10" s="16"/>
      <c r="F10" s="12"/>
      <c r="G10" s="12"/>
      <c r="H10" s="12"/>
      <c r="I10" s="26" t="str">
        <f aca="false">IF(F10="","",SUMPRODUCT($F$6:F10,$E$6:E10)*ThongSo!$B$6/3600)</f>
        <v/>
      </c>
      <c r="J10" s="16"/>
      <c r="K10" s="17"/>
      <c r="L10" s="17" t="str">
        <f aca="false">IF(OR(K10="",F10+G10=0),"",K10/(F10+G10)*1000)</f>
        <v/>
      </c>
    </row>
    <row r="11" customFormat="false" ht="15" hidden="false" customHeight="false" outlineLevel="0" collapsed="false">
      <c r="A11" s="21" t="s">
        <v>427</v>
      </c>
      <c r="B11" s="12"/>
      <c r="C11" s="12"/>
      <c r="D11" s="16"/>
      <c r="E11" s="16"/>
      <c r="F11" s="12"/>
      <c r="G11" s="12"/>
      <c r="H11" s="12"/>
      <c r="I11" s="26" t="str">
        <f aca="false">IF(F11="","",SUMPRODUCT($F$6:F11,$E$6:E11)*ThongSo!$B$6/3600)</f>
        <v/>
      </c>
      <c r="J11" s="16"/>
      <c r="K11" s="17"/>
      <c r="L11" s="17" t="str">
        <f aca="false">IF(OR(K11="",F11+G11=0),"",K11/(F11+G11)*1000)</f>
        <v/>
      </c>
    </row>
    <row r="12" customFormat="false" ht="15" hidden="false" customHeight="false" outlineLevel="0" collapsed="false">
      <c r="A12" s="21" t="s">
        <v>428</v>
      </c>
      <c r="B12" s="12"/>
      <c r="C12" s="12"/>
      <c r="D12" s="16"/>
      <c r="E12" s="16"/>
      <c r="F12" s="12"/>
      <c r="G12" s="12"/>
      <c r="H12" s="12"/>
      <c r="I12" s="26" t="str">
        <f aca="false">IF(F12="","",SUMPRODUCT($F$6:F12,$E$6:E12)*ThongSo!$B$6/3600)</f>
        <v/>
      </c>
      <c r="J12" s="16"/>
      <c r="K12" s="17"/>
      <c r="L12" s="17" t="str">
        <f aca="false">IF(OR(K12="",F12+G12=0),"",K12/(F12+G12)*1000)</f>
        <v/>
      </c>
    </row>
    <row r="13" customFormat="false" ht="15" hidden="false" customHeight="false" outlineLevel="0" collapsed="false">
      <c r="A13" s="21" t="s">
        <v>429</v>
      </c>
      <c r="B13" s="12"/>
      <c r="C13" s="12"/>
      <c r="D13" s="16"/>
      <c r="E13" s="16"/>
      <c r="F13" s="12"/>
      <c r="G13" s="12"/>
      <c r="H13" s="12"/>
      <c r="I13" s="26" t="str">
        <f aca="false">IF(F13="","",SUMPRODUCT($F$6:F13,$E$6:E13)*ThongSo!$B$6/3600)</f>
        <v/>
      </c>
      <c r="J13" s="16"/>
      <c r="K13" s="17"/>
      <c r="L13" s="17" t="str">
        <f aca="false">IF(OR(K13="",F13+G13=0),"",K13/(F13+G13)*1000)</f>
        <v/>
      </c>
    </row>
    <row r="14" customFormat="false" ht="15" hidden="false" customHeight="false" outlineLevel="0" collapsed="false">
      <c r="A14" s="21" t="s">
        <v>430</v>
      </c>
      <c r="B14" s="12"/>
      <c r="C14" s="12"/>
      <c r="D14" s="16"/>
      <c r="E14" s="16"/>
      <c r="F14" s="12"/>
      <c r="G14" s="12"/>
      <c r="H14" s="12"/>
      <c r="I14" s="26" t="str">
        <f aca="false">IF(F14="","",SUMPRODUCT($F$6:F14,$E$6:E14)*ThongSo!$B$6/3600)</f>
        <v/>
      </c>
      <c r="J14" s="16"/>
      <c r="K14" s="17"/>
      <c r="L14" s="17" t="str">
        <f aca="false">IF(OR(K14="",F14+G14=0),"",K14/(F14+G14)*1000)</f>
        <v/>
      </c>
    </row>
    <row r="15" customFormat="false" ht="15" hidden="false" customHeight="false" outlineLevel="0" collapsed="false">
      <c r="A15" s="21" t="s">
        <v>431</v>
      </c>
      <c r="B15" s="12"/>
      <c r="C15" s="12"/>
      <c r="D15" s="16"/>
      <c r="E15" s="16"/>
      <c r="F15" s="12"/>
      <c r="G15" s="12"/>
      <c r="H15" s="12"/>
      <c r="I15" s="26" t="str">
        <f aca="false">IF(F15="","",SUMPRODUCT($F$6:F15,$E$6:E15)*ThongSo!$B$6/3600)</f>
        <v/>
      </c>
      <c r="J15" s="16"/>
      <c r="K15" s="17"/>
      <c r="L15" s="17" t="str">
        <f aca="false">IF(OR(K15="",F15+G15=0),"",K15/(F15+G15)*1000)</f>
        <v/>
      </c>
    </row>
    <row r="16" customFormat="false" ht="15" hidden="false" customHeight="false" outlineLevel="0" collapsed="false">
      <c r="A16" s="21" t="s">
        <v>432</v>
      </c>
      <c r="B16" s="12"/>
      <c r="C16" s="12"/>
      <c r="D16" s="16"/>
      <c r="E16" s="16"/>
      <c r="F16" s="12"/>
      <c r="G16" s="12"/>
      <c r="H16" s="12"/>
      <c r="I16" s="26" t="str">
        <f aca="false">IF(F16="","",SUMPRODUCT($F$6:F16,$E$6:E16)*ThongSo!$B$6/3600)</f>
        <v/>
      </c>
      <c r="J16" s="16"/>
      <c r="K16" s="17"/>
      <c r="L16" s="17" t="str">
        <f aca="false">IF(OR(K16="",F16+G16=0),"",K16/(F16+G16)*1000)</f>
        <v/>
      </c>
    </row>
    <row r="17" customFormat="false" ht="15" hidden="false" customHeight="false" outlineLevel="0" collapsed="false">
      <c r="A17" s="21" t="s">
        <v>433</v>
      </c>
      <c r="B17" s="12"/>
      <c r="C17" s="12"/>
      <c r="D17" s="16"/>
      <c r="E17" s="16"/>
      <c r="F17" s="12"/>
      <c r="G17" s="12"/>
      <c r="H17" s="12"/>
      <c r="I17" s="26" t="str">
        <f aca="false">IF(F17="","",SUMPRODUCT($F$6:F17,$E$6:E17)*ThongSo!$B$6/3600)</f>
        <v/>
      </c>
      <c r="J17" s="16"/>
      <c r="K17" s="17"/>
      <c r="L17" s="17" t="str">
        <f aca="false">IF(OR(K17="",F17+G17=0),"",K17/(F17+G17)*1000)</f>
        <v/>
      </c>
    </row>
    <row r="18" customFormat="false" ht="15" hidden="false" customHeight="false" outlineLevel="0" collapsed="false">
      <c r="A18" s="21" t="s">
        <v>434</v>
      </c>
      <c r="B18" s="12"/>
      <c r="C18" s="12"/>
      <c r="D18" s="16"/>
      <c r="E18" s="16"/>
      <c r="F18" s="12"/>
      <c r="G18" s="12"/>
      <c r="H18" s="12"/>
      <c r="I18" s="26" t="str">
        <f aca="false">IF(F18="","",SUMPRODUCT($F$6:F18,$E$6:E18)*ThongSo!$B$6/3600)</f>
        <v/>
      </c>
      <c r="J18" s="16"/>
      <c r="K18" s="17"/>
      <c r="L18" s="17" t="str">
        <f aca="false">IF(OR(K18="",F18+G18=0),"",K18/(F18+G18)*1000)</f>
        <v/>
      </c>
    </row>
    <row r="19" customFormat="false" ht="15" hidden="false" customHeight="false" outlineLevel="0" collapsed="false">
      <c r="A19" s="21" t="s">
        <v>435</v>
      </c>
      <c r="B19" s="12"/>
      <c r="C19" s="12"/>
      <c r="D19" s="16"/>
      <c r="E19" s="16"/>
      <c r="F19" s="12"/>
      <c r="G19" s="12"/>
      <c r="H19" s="12"/>
      <c r="I19" s="26" t="str">
        <f aca="false">IF(F19="","",SUMPRODUCT($F$6:F19,$E$6:E19)*ThongSo!$B$6/3600)</f>
        <v/>
      </c>
      <c r="J19" s="16"/>
      <c r="K19" s="17"/>
      <c r="L19" s="17" t="str">
        <f aca="false">IF(OR(K19="",F19+G19=0),"",K19/(F19+G19)*1000)</f>
        <v/>
      </c>
    </row>
    <row r="20" customFormat="false" ht="15" hidden="false" customHeight="false" outlineLevel="0" collapsed="false">
      <c r="A20" s="21" t="s">
        <v>436</v>
      </c>
      <c r="B20" s="12"/>
      <c r="C20" s="12"/>
      <c r="D20" s="16"/>
      <c r="E20" s="16"/>
      <c r="F20" s="12"/>
      <c r="G20" s="12"/>
      <c r="H20" s="12"/>
      <c r="I20" s="26" t="str">
        <f aca="false">IF(F20="","",SUMPRODUCT($F$6:F20,$E$6:E20)*ThongSo!$B$6/3600)</f>
        <v/>
      </c>
      <c r="J20" s="16"/>
      <c r="K20" s="17"/>
      <c r="L20" s="17" t="str">
        <f aca="false">IF(OR(K20="",F20+G20=0),"",K20/(F20+G20)*1000)</f>
        <v/>
      </c>
    </row>
    <row r="21" customFormat="false" ht="15" hidden="false" customHeight="false" outlineLevel="0" collapsed="false">
      <c r="A21" s="21" t="s">
        <v>437</v>
      </c>
      <c r="B21" s="12"/>
      <c r="C21" s="12"/>
      <c r="D21" s="16"/>
      <c r="E21" s="16"/>
      <c r="F21" s="12"/>
      <c r="G21" s="12"/>
      <c r="H21" s="12"/>
      <c r="I21" s="26" t="str">
        <f aca="false">IF(F21="","",SUMPRODUCT($F$6:F21,$E$6:E21)*ThongSo!$B$6/3600)</f>
        <v/>
      </c>
      <c r="J21" s="16"/>
      <c r="K21" s="17"/>
      <c r="L21" s="17" t="str">
        <f aca="false">IF(OR(K21="",F21+G21=0),"",K21/(F21+G21)*1000)</f>
        <v/>
      </c>
    </row>
    <row r="22" customFormat="false" ht="15" hidden="false" customHeight="false" outlineLevel="0" collapsed="false">
      <c r="A22" s="21" t="s">
        <v>438</v>
      </c>
      <c r="B22" s="12"/>
      <c r="C22" s="12"/>
      <c r="D22" s="16"/>
      <c r="E22" s="16"/>
      <c r="F22" s="12"/>
      <c r="G22" s="12"/>
      <c r="H22" s="12"/>
      <c r="I22" s="26" t="str">
        <f aca="false">IF(F22="","",SUMPRODUCT($F$6:F22,$E$6:E22)*ThongSo!$B$6/3600)</f>
        <v/>
      </c>
      <c r="J22" s="16"/>
      <c r="K22" s="17"/>
      <c r="L22" s="17" t="str">
        <f aca="false">IF(OR(K22="",F22+G22=0),"",K22/(F22+G22)*1000)</f>
        <v/>
      </c>
    </row>
    <row r="23" customFormat="false" ht="15" hidden="false" customHeight="false" outlineLevel="0" collapsed="false">
      <c r="A23" s="21" t="s">
        <v>439</v>
      </c>
      <c r="B23" s="12"/>
      <c r="C23" s="12"/>
      <c r="D23" s="16"/>
      <c r="E23" s="16"/>
      <c r="F23" s="12"/>
      <c r="G23" s="12"/>
      <c r="H23" s="12"/>
      <c r="I23" s="26" t="str">
        <f aca="false">IF(F23="","",SUMPRODUCT($F$6:F23,$E$6:E23)*ThongSo!$B$6/3600)</f>
        <v/>
      </c>
      <c r="J23" s="16"/>
      <c r="K23" s="17"/>
      <c r="L23" s="17" t="str">
        <f aca="false">IF(OR(K23="",F23+G23=0),"",K23/(F23+G23)*1000)</f>
        <v/>
      </c>
    </row>
    <row r="24" customFormat="false" ht="15" hidden="false" customHeight="false" outlineLevel="0" collapsed="false">
      <c r="A24" s="21" t="s">
        <v>440</v>
      </c>
      <c r="B24" s="12"/>
      <c r="C24" s="12"/>
      <c r="D24" s="16"/>
      <c r="E24" s="16"/>
      <c r="F24" s="12"/>
      <c r="G24" s="12"/>
      <c r="H24" s="12"/>
      <c r="I24" s="26" t="str">
        <f aca="false">IF(F24="","",SUMPRODUCT($F$6:F24,$E$6:E24)*ThongSo!$B$6/3600)</f>
        <v/>
      </c>
      <c r="J24" s="16"/>
      <c r="K24" s="17"/>
      <c r="L24" s="17" t="str">
        <f aca="false">IF(OR(K24="",F24+G24=0),"",K24/(F24+G24)*1000)</f>
        <v/>
      </c>
    </row>
    <row r="25" customFormat="false" ht="15" hidden="false" customHeight="false" outlineLevel="0" collapsed="false">
      <c r="A25" s="21" t="s">
        <v>441</v>
      </c>
      <c r="B25" s="12"/>
      <c r="C25" s="12"/>
      <c r="D25" s="16"/>
      <c r="E25" s="16"/>
      <c r="F25" s="12"/>
      <c r="G25" s="12"/>
      <c r="H25" s="12"/>
      <c r="I25" s="26" t="str">
        <f aca="false">IF(F25="","",SUMPRODUCT($F$6:F25,$E$6:E25)*ThongSo!$B$6/3600)</f>
        <v/>
      </c>
      <c r="J25" s="16"/>
      <c r="K25" s="17"/>
      <c r="L25" s="17" t="str">
        <f aca="false">IF(OR(K25="",F25+G25=0),"",K25/(F25+G25)*1000)</f>
        <v/>
      </c>
    </row>
    <row r="26" customFormat="false" ht="15" hidden="false" customHeight="false" outlineLevel="0" collapsed="false">
      <c r="A26" s="21" t="s">
        <v>442</v>
      </c>
      <c r="B26" s="12"/>
      <c r="C26" s="12"/>
      <c r="D26" s="16"/>
      <c r="E26" s="16"/>
      <c r="F26" s="12"/>
      <c r="G26" s="12"/>
      <c r="H26" s="12"/>
      <c r="I26" s="26" t="str">
        <f aca="false">IF(F26="","",SUMPRODUCT($F$6:F26,$E$6:E26)*ThongSo!$B$6/3600)</f>
        <v/>
      </c>
      <c r="J26" s="16"/>
      <c r="K26" s="17"/>
      <c r="L26" s="17" t="str">
        <f aca="false">IF(OR(K26="",F26+G26=0),"",K26/(F26+G26)*1000)</f>
        <v/>
      </c>
    </row>
    <row r="27" customFormat="false" ht="15" hidden="false" customHeight="false" outlineLevel="0" collapsed="false">
      <c r="A27" s="21" t="s">
        <v>443</v>
      </c>
      <c r="B27" s="12"/>
      <c r="C27" s="12"/>
      <c r="D27" s="16"/>
      <c r="E27" s="16"/>
      <c r="F27" s="12"/>
      <c r="G27" s="12"/>
      <c r="H27" s="12"/>
      <c r="I27" s="26" t="str">
        <f aca="false">IF(F27="","",SUMPRODUCT($F$6:F27,$E$6:E27)*ThongSo!$B$6/3600)</f>
        <v/>
      </c>
      <c r="J27" s="16"/>
      <c r="K27" s="17"/>
      <c r="L27" s="17" t="str">
        <f aca="false">IF(OR(K27="",F27+G27=0),"",K27/(F27+G27)*1000)</f>
        <v/>
      </c>
    </row>
    <row r="28" customFormat="false" ht="15" hidden="false" customHeight="false" outlineLevel="0" collapsed="false">
      <c r="A28" s="21" t="s">
        <v>444</v>
      </c>
      <c r="B28" s="12"/>
      <c r="C28" s="12"/>
      <c r="D28" s="16"/>
      <c r="E28" s="16"/>
      <c r="F28" s="12"/>
      <c r="G28" s="12"/>
      <c r="H28" s="12"/>
      <c r="I28" s="26" t="str">
        <f aca="false">IF(F28="","",SUMPRODUCT($F$6:F28,$E$6:E28)*ThongSo!$B$6/3600)</f>
        <v/>
      </c>
      <c r="J28" s="16"/>
      <c r="K28" s="17"/>
      <c r="L28" s="17" t="str">
        <f aca="false">IF(OR(K28="",F28+G28=0),"",K28/(F28+G28)*1000)</f>
        <v/>
      </c>
    </row>
    <row r="29" customFormat="false" ht="15" hidden="false" customHeight="false" outlineLevel="0" collapsed="false">
      <c r="A29" s="21" t="s">
        <v>445</v>
      </c>
      <c r="B29" s="12"/>
      <c r="C29" s="12"/>
      <c r="D29" s="16"/>
      <c r="E29" s="16"/>
      <c r="F29" s="12"/>
      <c r="G29" s="12"/>
      <c r="H29" s="12"/>
      <c r="I29" s="26" t="str">
        <f aca="false">IF(F29="","",SUMPRODUCT($F$6:F29,$E$6:E29)*ThongSo!$B$6/3600)</f>
        <v/>
      </c>
      <c r="J29" s="16"/>
      <c r="K29" s="17"/>
      <c r="L29" s="17" t="str">
        <f aca="false">IF(OR(K29="",F29+G29=0),"",K29/(F29+G29)*1000)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2026-10-12T19:14:49Z</dcterms:created>
  <dc:creator>openpyxl</dc:creator>
  <dc:description/>
  <dc:language>en-US</dc:language>
  <cp:lastModifiedBy/>
  <dcterms:modified xsi:type="dcterms:W3CDTF">2026-10-12T19:14:49Z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